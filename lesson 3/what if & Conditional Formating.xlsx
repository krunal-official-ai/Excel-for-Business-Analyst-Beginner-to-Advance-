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3.EXCEL\"/>
    </mc:Choice>
  </mc:AlternateContent>
  <bookViews>
    <workbookView xWindow="0" yWindow="0" windowWidth="28800" windowHeight="12300" activeTab="3"/>
  </bookViews>
  <sheets>
    <sheet name="What_if(Scenario_manager)" sheetId="1" r:id="rId1"/>
    <sheet name="Scenario Summary" sheetId="6" r:id="rId2"/>
    <sheet name="Goal Seek" sheetId="3" r:id="rId3"/>
    <sheet name="Data_Table" sheetId="4" r:id="rId4"/>
    <sheet name="Conditional_Formating" sheetId="5" r:id="rId5"/>
  </sheets>
  <definedNames>
    <definedName name="_xlnm._FilterDatabase" localSheetId="3" hidden="1">Data_Table!$E$19:$F$25</definedName>
    <definedName name="Discount">'What_if(Scenario_manager)'!$B$6</definedName>
    <definedName name="Final_Amount">'What_if(Scenario_manager)'!$B$8</definedName>
    <definedName name="Sales_Amount">'What_if(Scenario_manager)'!$B$7</definedName>
  </definedNames>
  <calcPr calcId="162913"/>
  <extLst>
    <ext uri="GoogleSheetsCustomDataVersion2">
      <go:sheetsCustomData xmlns:go="http://customooxmlschemas.google.com/" r:id="rId9" roundtripDataChecksum="ZmqDcBAsg2A+Bcbu8Rmtv2X2K9ZSk0lWERFoUL4+lPg="/>
    </ext>
  </extLst>
</workbook>
</file>

<file path=xl/calcChain.xml><?xml version="1.0" encoding="utf-8"?>
<calcChain xmlns="http://schemas.openxmlformats.org/spreadsheetml/2006/main">
  <c r="E4" i="5" l="1"/>
  <c r="M6" i="4" a="1"/>
  <c r="P6" i="4" s="1"/>
  <c r="F6" i="4" a="1"/>
  <c r="I6" i="4" s="1"/>
  <c r="B5" i="4"/>
  <c r="B9" i="4" s="1"/>
  <c r="L11" i="3"/>
  <c r="L14" i="3" s="1"/>
  <c r="L16" i="3" s="1"/>
  <c r="H11" i="3"/>
  <c r="I11" i="3" s="1"/>
  <c r="L7" i="3"/>
  <c r="F7" i="3"/>
  <c r="C6" i="3"/>
  <c r="B7" i="1"/>
  <c r="B19" i="4" l="1"/>
  <c r="J6" i="4"/>
  <c r="N6" i="4"/>
  <c r="R6" i="4"/>
  <c r="Q6" i="4"/>
  <c r="G6" i="4"/>
  <c r="K6" i="4"/>
  <c r="O6" i="4"/>
  <c r="E6" i="4"/>
  <c r="H6" i="4"/>
  <c r="M6" i="4"/>
  <c r="F6" i="4"/>
</calcChain>
</file>

<file path=xl/sharedStrings.xml><?xml version="1.0" encoding="utf-8"?>
<sst xmlns="http://schemas.openxmlformats.org/spreadsheetml/2006/main" count="95" uniqueCount="79">
  <si>
    <t>Product</t>
  </si>
  <si>
    <t>PS5</t>
  </si>
  <si>
    <t>Quantity</t>
  </si>
  <si>
    <t>Price</t>
  </si>
  <si>
    <t>Total Amount</t>
  </si>
  <si>
    <t>Discount</t>
  </si>
  <si>
    <t>Sales Amount</t>
  </si>
  <si>
    <t>PS6</t>
  </si>
  <si>
    <t>Scenario Summary</t>
  </si>
  <si>
    <t>Current Values:</t>
  </si>
  <si>
    <t>Changing Cells: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</si>
  <si>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</si>
  <si>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</si>
  <si>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</si>
  <si>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</si>
  <si>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Fastfood Caf'e</t>
  </si>
  <si>
    <t>Item</t>
  </si>
  <si>
    <t>Laptop</t>
  </si>
  <si>
    <t>Corporate.org</t>
  </si>
  <si>
    <t>Sandwitch</t>
  </si>
  <si>
    <t>price</t>
  </si>
  <si>
    <t>Total Computers</t>
  </si>
  <si>
    <t>Qty</t>
  </si>
  <si>
    <t>Down pay</t>
  </si>
  <si>
    <t>Electricity Charge</t>
  </si>
  <si>
    <t xml:space="preserve">Price </t>
  </si>
  <si>
    <t>Intrest</t>
  </si>
  <si>
    <t>Staff salaries</t>
  </si>
  <si>
    <t>Amount</t>
  </si>
  <si>
    <t>period</t>
  </si>
  <si>
    <t>Rent</t>
  </si>
  <si>
    <t>Emi</t>
  </si>
  <si>
    <t>Total monthly Expences</t>
  </si>
  <si>
    <t>Charge per Hours</t>
  </si>
  <si>
    <t>Name</t>
  </si>
  <si>
    <t>Phy</t>
  </si>
  <si>
    <t>Che</t>
  </si>
  <si>
    <t>Math</t>
  </si>
  <si>
    <t>Hindi</t>
  </si>
  <si>
    <t>Eng</t>
  </si>
  <si>
    <t>total</t>
  </si>
  <si>
    <t>Percentage</t>
  </si>
  <si>
    <t>working Hours</t>
  </si>
  <si>
    <t>Karma</t>
  </si>
  <si>
    <t>1 day Earning</t>
  </si>
  <si>
    <t>Working Days per month</t>
  </si>
  <si>
    <t>Monthly Earning</t>
  </si>
  <si>
    <t>Profit/Loss</t>
  </si>
  <si>
    <t>||  Natoshree Idelii Wala  ||</t>
  </si>
  <si>
    <t>Quentity</t>
  </si>
  <si>
    <t>Gross margin</t>
  </si>
  <si>
    <t>Profit Of Natoshree Idelii Wala Store</t>
  </si>
  <si>
    <t>profit</t>
  </si>
  <si>
    <t>Profit</t>
  </si>
  <si>
    <t>NAME</t>
  </si>
  <si>
    <t>Subject</t>
  </si>
  <si>
    <t>Marks</t>
  </si>
  <si>
    <t>Date</t>
  </si>
  <si>
    <t>Aarav Patel</t>
  </si>
  <si>
    <t>Maths</t>
  </si>
  <si>
    <t>Diya Shah</t>
  </si>
  <si>
    <t>Science</t>
  </si>
  <si>
    <t>Rohan Mehta</t>
  </si>
  <si>
    <t>Physics</t>
  </si>
  <si>
    <t>Kavya Desai</t>
  </si>
  <si>
    <t>English</t>
  </si>
  <si>
    <t>Aditya Verma</t>
  </si>
  <si>
    <t>Neha Joshi</t>
  </si>
  <si>
    <t>Chemistry</t>
  </si>
  <si>
    <t>Vivaan Gupta</t>
  </si>
  <si>
    <t>Biology</t>
  </si>
  <si>
    <t>Isha Malhotra</t>
  </si>
  <si>
    <t>Arjun Singh</t>
  </si>
  <si>
    <t>Ananya Rao</t>
  </si>
  <si>
    <t>AMAZON ONLINE MARKET PLACE</t>
  </si>
  <si>
    <t>Sales_Amount</t>
  </si>
  <si>
    <t>December</t>
  </si>
  <si>
    <t>Created by admin on 24-02-2026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</si>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</sst>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[$₹-4009]\ * #,##0.00_ ;_ [$₹-4009]\ * \-#,##0.00_ ;_ [$₹-4009]\ * &quot;-&quot;??_ ;_ @_ "/>
    <numFmt numFmtId="165" formatCode="[$₹-4009]\ #,##0"/>
    <numFmt numFmtId="166" formatCode="[$₹-4009]\ #,##0.00"/>
  </numFmts>
  <fonts count="14">
    <font>
      <sz val="11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b/>
      <sz val="11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BBC04"/>
        <bgColor rgb="FFFBBC04"/>
      </patternFill>
    </fill>
    <fill>
      <patternFill patternType="solid">
        <fgColor rgb="FFCFE2F3"/>
        <bgColor rgb="FFCFE2F3"/>
      </patternFill>
    </fill>
    <fill>
      <patternFill patternType="solid">
        <fgColor theme="7"/>
        <bgColor theme="7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78FC62"/>
        <bgColor rgb="FF78FC62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  <fill>
      <patternFill patternType="solid">
        <fgColor rgb="FFA8D08D"/>
        <bgColor rgb="FFA8D08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2" fontId="2" fillId="0" borderId="4" xfId="0" applyNumberFormat="1" applyFont="1" applyBorder="1" applyAlignment="1">
      <alignment horizontal="center" wrapText="1"/>
    </xf>
    <xf numFmtId="10" fontId="2" fillId="2" borderId="4" xfId="0" applyNumberFormat="1" applyFont="1" applyFill="1" applyBorder="1" applyAlignment="1">
      <alignment horizontal="center" wrapText="1"/>
    </xf>
    <xf numFmtId="0" fontId="1" fillId="3" borderId="3" xfId="0" applyFont="1" applyFill="1" applyBorder="1" applyAlignment="1">
      <alignment wrapText="1"/>
    </xf>
    <xf numFmtId="1" fontId="2" fillId="3" borderId="4" xfId="0" applyNumberFormat="1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/>
    <xf numFmtId="0" fontId="3" fillId="0" borderId="10" xfId="0" applyFont="1" applyBorder="1"/>
    <xf numFmtId="0" fontId="6" fillId="6" borderId="10" xfId="0" applyFont="1" applyFill="1" applyBorder="1" applyAlignment="1">
      <alignment horizontal="left"/>
    </xf>
    <xf numFmtId="0" fontId="3" fillId="6" borderId="10" xfId="0" applyFont="1" applyFill="1" applyBorder="1" applyAlignment="1">
      <alignment horizontal="center"/>
    </xf>
    <xf numFmtId="164" fontId="3" fillId="0" borderId="10" xfId="0" applyNumberFormat="1" applyFont="1" applyBorder="1"/>
    <xf numFmtId="0" fontId="7" fillId="0" borderId="10" xfId="0" applyFont="1" applyBorder="1" applyAlignment="1">
      <alignment horizontal="center"/>
    </xf>
    <xf numFmtId="0" fontId="7" fillId="0" borderId="10" xfId="0" applyFont="1" applyBorder="1"/>
    <xf numFmtId="0" fontId="6" fillId="0" borderId="10" xfId="0" applyFont="1" applyBorder="1"/>
    <xf numFmtId="1" fontId="3" fillId="0" borderId="10" xfId="0" applyNumberFormat="1" applyFont="1" applyBorder="1" applyAlignment="1">
      <alignment horizontal="right" vertical="center"/>
    </xf>
    <xf numFmtId="165" fontId="7" fillId="0" borderId="10" xfId="0" applyNumberFormat="1" applyFont="1" applyBorder="1"/>
    <xf numFmtId="164" fontId="3" fillId="0" borderId="10" xfId="0" applyNumberFormat="1" applyFont="1" applyBorder="1" applyAlignment="1">
      <alignment horizontal="right" vertical="center"/>
    </xf>
    <xf numFmtId="10" fontId="3" fillId="0" borderId="10" xfId="0" applyNumberFormat="1" applyFont="1" applyBorder="1"/>
    <xf numFmtId="0" fontId="6" fillId="7" borderId="10" xfId="0" applyFont="1" applyFill="1" applyBorder="1"/>
    <xf numFmtId="164" fontId="6" fillId="0" borderId="10" xfId="0" applyNumberFormat="1" applyFont="1" applyBorder="1" applyAlignment="1">
      <alignment horizontal="right" vertical="center"/>
    </xf>
    <xf numFmtId="1" fontId="3" fillId="0" borderId="10" xfId="0" applyNumberFormat="1" applyFont="1" applyBorder="1"/>
    <xf numFmtId="0" fontId="3" fillId="7" borderId="10" xfId="0" applyFont="1" applyFill="1" applyBorder="1"/>
    <xf numFmtId="0" fontId="8" fillId="4" borderId="10" xfId="0" applyFont="1" applyFill="1" applyBorder="1" applyAlignment="1">
      <alignment horizontal="center"/>
    </xf>
    <xf numFmtId="165" fontId="8" fillId="4" borderId="10" xfId="0" applyNumberFormat="1" applyFont="1" applyFill="1" applyBorder="1"/>
    <xf numFmtId="166" fontId="7" fillId="0" borderId="10" xfId="0" applyNumberFormat="1" applyFont="1" applyBorder="1" applyAlignment="1">
      <alignment horizontal="right"/>
    </xf>
    <xf numFmtId="0" fontId="6" fillId="0" borderId="10" xfId="0" applyFont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1" fontId="7" fillId="0" borderId="10" xfId="0" applyNumberFormat="1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9" fontId="3" fillId="0" borderId="10" xfId="0" applyNumberFormat="1" applyFont="1" applyBorder="1" applyAlignment="1">
      <alignment horizontal="center"/>
    </xf>
    <xf numFmtId="165" fontId="8" fillId="4" borderId="10" xfId="0" applyNumberFormat="1" applyFont="1" applyFill="1" applyBorder="1" applyAlignment="1">
      <alignment horizontal="right"/>
    </xf>
    <xf numFmtId="1" fontId="8" fillId="4" borderId="10" xfId="0" applyNumberFormat="1" applyFont="1" applyFill="1" applyBorder="1" applyAlignment="1">
      <alignment horizontal="right"/>
    </xf>
    <xf numFmtId="0" fontId="3" fillId="7" borderId="10" xfId="0" applyFont="1" applyFill="1" applyBorder="1" applyAlignment="1">
      <alignment horizontal="center"/>
    </xf>
    <xf numFmtId="165" fontId="3" fillId="7" borderId="10" xfId="0" applyNumberFormat="1" applyFont="1" applyFill="1" applyBorder="1"/>
    <xf numFmtId="0" fontId="8" fillId="0" borderId="10" xfId="0" applyFont="1" applyBorder="1"/>
    <xf numFmtId="0" fontId="3" fillId="0" borderId="10" xfId="0" applyFont="1" applyBorder="1" applyAlignment="1">
      <alignment horizontal="right"/>
    </xf>
    <xf numFmtId="9" fontId="3" fillId="0" borderId="10" xfId="0" applyNumberFormat="1" applyFont="1" applyBorder="1" applyAlignment="1">
      <alignment horizontal="right"/>
    </xf>
    <xf numFmtId="0" fontId="8" fillId="10" borderId="10" xfId="0" applyFont="1" applyFill="1" applyBorder="1"/>
    <xf numFmtId="0" fontId="3" fillId="6" borderId="10" xfId="0" applyFont="1" applyFill="1" applyBorder="1" applyAlignment="1">
      <alignment horizontal="right"/>
    </xf>
    <xf numFmtId="0" fontId="3" fillId="10" borderId="16" xfId="0" applyFont="1" applyFill="1" applyBorder="1" applyAlignment="1">
      <alignment horizontal="center"/>
    </xf>
    <xf numFmtId="1" fontId="6" fillId="8" borderId="10" xfId="0" applyNumberFormat="1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6" fillId="10" borderId="10" xfId="0" applyFont="1" applyFill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6" fillId="9" borderId="10" xfId="0" applyFont="1" applyFill="1" applyBorder="1" applyAlignment="1">
      <alignment horizontal="center"/>
    </xf>
    <xf numFmtId="14" fontId="3" fillId="0" borderId="10" xfId="0" applyNumberFormat="1" applyFont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5" fillId="0" borderId="9" xfId="0" applyFont="1" applyBorder="1"/>
    <xf numFmtId="0" fontId="3" fillId="5" borderId="8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5" fillId="0" borderId="12" xfId="0" applyFont="1" applyBorder="1"/>
    <xf numFmtId="0" fontId="6" fillId="9" borderId="8" xfId="0" applyFont="1" applyFill="1" applyBorder="1" applyAlignment="1">
      <alignment horizontal="center"/>
    </xf>
    <xf numFmtId="0" fontId="5" fillId="0" borderId="6" xfId="0" applyFont="1" applyBorder="1"/>
    <xf numFmtId="0" fontId="6" fillId="8" borderId="13" xfId="0" applyFont="1" applyFill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0" fontId="3" fillId="9" borderId="17" xfId="0" applyFont="1" applyFill="1" applyBorder="1" applyAlignment="1">
      <alignment horizontal="center" vertical="center"/>
    </xf>
    <xf numFmtId="0" fontId="5" fillId="0" borderId="18" xfId="0" applyFont="1" applyBorder="1"/>
    <xf numFmtId="0" fontId="5" fillId="0" borderId="19" xfId="0" applyFont="1" applyBorder="1"/>
    <xf numFmtId="0" fontId="0" fillId="11" borderId="7" xfId="0" applyFont="1" applyFill="1" applyBorder="1" applyAlignment="1">
      <alignment horizontal="center"/>
    </xf>
    <xf numFmtId="0" fontId="2" fillId="0" borderId="2" xfId="0" applyNumberFormat="1" applyFont="1" applyBorder="1" applyAlignment="1">
      <alignment horizontal="center" wrapText="1"/>
    </xf>
    <xf numFmtId="1" fontId="2" fillId="0" borderId="4" xfId="0" applyNumberFormat="1" applyFont="1" applyBorder="1" applyAlignment="1">
      <alignment horizontal="center" wrapText="1"/>
    </xf>
    <xf numFmtId="0" fontId="2" fillId="12" borderId="2" xfId="0" applyFont="1" applyFill="1" applyBorder="1" applyAlignment="1">
      <alignment horizontal="center" wrapText="1"/>
    </xf>
    <xf numFmtId="0" fontId="0" fillId="0" borderId="5" xfId="0" applyFill="1" applyBorder="1" applyAlignment="1"/>
    <xf numFmtId="10" fontId="0" fillId="0" borderId="5" xfId="0" applyNumberFormat="1" applyFill="1" applyBorder="1" applyAlignment="1"/>
    <xf numFmtId="1" fontId="0" fillId="0" borderId="21" xfId="0" applyNumberFormat="1" applyFill="1" applyBorder="1" applyAlignment="1"/>
    <xf numFmtId="0" fontId="9" fillId="13" borderId="22" xfId="0" applyFont="1" applyFill="1" applyBorder="1" applyAlignment="1">
      <alignment horizontal="left"/>
    </xf>
    <xf numFmtId="0" fontId="9" fillId="13" borderId="20" xfId="0" applyFont="1" applyFill="1" applyBorder="1" applyAlignment="1">
      <alignment horizontal="left"/>
    </xf>
    <xf numFmtId="0" fontId="0" fillId="0" borderId="23" xfId="0" applyFill="1" applyBorder="1" applyAlignment="1"/>
    <xf numFmtId="0" fontId="10" fillId="14" borderId="5" xfId="0" applyFont="1" applyFill="1" applyBorder="1" applyAlignment="1">
      <alignment horizontal="left"/>
    </xf>
    <xf numFmtId="0" fontId="11" fillId="14" borderId="23" xfId="0" applyFont="1" applyFill="1" applyBorder="1" applyAlignment="1">
      <alignment horizontal="left"/>
    </xf>
    <xf numFmtId="0" fontId="10" fillId="14" borderId="21" xfId="0" applyFont="1" applyFill="1" applyBorder="1" applyAlignment="1">
      <alignment horizontal="left"/>
    </xf>
    <xf numFmtId="0" fontId="12" fillId="13" borderId="20" xfId="0" applyFont="1" applyFill="1" applyBorder="1" applyAlignment="1">
      <alignment horizontal="right"/>
    </xf>
    <xf numFmtId="0" fontId="12" fillId="13" borderId="22" xfId="0" applyFont="1" applyFill="1" applyBorder="1" applyAlignment="1">
      <alignment horizontal="right"/>
    </xf>
    <xf numFmtId="10" fontId="0" fillId="15" borderId="5" xfId="0" applyNumberFormat="1" applyFill="1" applyBorder="1" applyAlignment="1"/>
    <xf numFmtId="0" fontId="13" fillId="0" borderId="5" xfId="0" applyFont="1" applyFill="1" applyBorder="1" applyAlignment="1">
      <alignment vertical="top" wrapText="1"/>
    </xf>
    <xf numFmtId="0" fontId="3" fillId="16" borderId="10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zoomScale="205" zoomScaleNormal="205" workbookViewId="0">
      <selection activeCell="B7" sqref="B7"/>
    </sheetView>
  </sheetViews>
  <sheetFormatPr defaultColWidth="14.42578125" defaultRowHeight="15" customHeight="1"/>
  <cols>
    <col min="1" max="1" width="21.5703125" customWidth="1"/>
    <col min="2" max="2" width="19" customWidth="1"/>
    <col min="3" max="26" width="8.7109375" customWidth="1"/>
  </cols>
  <sheetData>
    <row r="1" spans="1:2" ht="15" customHeight="1" thickBot="1">
      <c r="A1" s="62" t="s">
        <v>74</v>
      </c>
      <c r="B1" s="62"/>
    </row>
    <row r="2" spans="1:2" ht="15.75" thickBot="1">
      <c r="A2" s="1" t="s">
        <v>0</v>
      </c>
      <c r="B2" s="63" t="s">
        <v>1</v>
      </c>
    </row>
    <row r="3" spans="1:2">
      <c r="A3" s="2" t="s">
        <v>2</v>
      </c>
      <c r="B3" s="64">
        <v>10</v>
      </c>
    </row>
    <row r="4" spans="1:2">
      <c r="A4" s="2" t="s">
        <v>3</v>
      </c>
      <c r="B4" s="3">
        <v>50000</v>
      </c>
    </row>
    <row r="5" spans="1:2">
      <c r="A5" s="2" t="s">
        <v>4</v>
      </c>
      <c r="B5" s="3">
        <v>500000</v>
      </c>
    </row>
    <row r="6" spans="1:2">
      <c r="A6" s="2" t="s">
        <v>5</v>
      </c>
      <c r="B6" s="4">
        <v>0.15</v>
      </c>
    </row>
    <row r="7" spans="1:2">
      <c r="A7" s="5" t="s">
        <v>6</v>
      </c>
      <c r="B7" s="6">
        <f>B5*B6</f>
        <v>75000</v>
      </c>
    </row>
    <row r="8" spans="1:2">
      <c r="A8" s="1" t="s">
        <v>0</v>
      </c>
      <c r="B8" s="65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cenarios current="1" sqref="B7">
    <scenario name="December" locked="1" count="1" user="admin" comment="Created by admin on 24-02-2026">
      <inputCells r="B6" val="0.3" numFmtId="10"/>
    </scenario>
    <scenario name="January" locked="1" count="1" user="admin" comment="Created by admin on 24-02-2026">
      <inputCells r="B6" val="0.15" numFmtId="10"/>
    </scenario>
  </scenarios>
  <mergeCells count="1">
    <mergeCell ref="A1:B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F11"/>
  <sheetViews>
    <sheetView showGridLines="0" zoomScale="190" zoomScaleNormal="190" workbookViewId="0">
      <selection activeCell="F3" sqref="F3"/>
    </sheetView>
  </sheetViews>
  <sheetFormatPr defaultRowHeight="15" outlineLevelRow="1" outlineLevelCol="1"/>
  <cols>
    <col min="3" max="3" width="13.85546875" bestFit="1" customWidth="1"/>
    <col min="4" max="6" width="13.140625" bestFit="1" customWidth="1" outlineLevel="1"/>
  </cols>
  <sheetData>
    <row r="1" spans="2:6" ht="15.75" thickBot="1"/>
    <row r="2" spans="2:6" ht="15.75">
      <c r="B2" s="70" t="s">
        <v>8</v>
      </c>
      <c r="C2" s="70"/>
      <c r="D2" s="75"/>
      <c r="E2" s="75"/>
      <c r="F2" s="75"/>
    </row>
    <row r="3" spans="2:6" ht="15.75" collapsed="1">
      <c r="B3" s="69"/>
      <c r="C3" s="69"/>
      <c r="D3" s="76" t="s">
        <v>9</v>
      </c>
      <c r="E3" s="76" t="s">
        <v>76</v>
      </c>
      <c r="F3" s="76" t="s">
        <v>78</v>
      </c>
    </row>
    <row r="4" spans="2:6" ht="22.5" hidden="1" outlineLevel="1">
      <c r="B4" s="72"/>
      <c r="C4" s="72"/>
      <c r="D4" s="66"/>
      <c r="E4" s="78" t="s">
        <v>77</v>
      </c>
      <c r="F4" s="78" t="s">
        <v>77</v>
      </c>
    </row>
    <row r="5" spans="2:6">
      <c r="B5" s="73" t="s">
        <v>10</v>
      </c>
      <c r="C5" s="73"/>
      <c r="D5" s="71"/>
      <c r="E5" s="71"/>
      <c r="F5" s="71"/>
    </row>
    <row r="6" spans="2:6" outlineLevel="1">
      <c r="B6" s="72"/>
      <c r="C6" s="72" t="s">
        <v>5</v>
      </c>
      <c r="D6" s="67">
        <v>0.15</v>
      </c>
      <c r="E6" s="77">
        <v>0.3</v>
      </c>
      <c r="F6" s="77">
        <v>0.15</v>
      </c>
    </row>
    <row r="7" spans="2:6">
      <c r="B7" s="73" t="s">
        <v>11</v>
      </c>
      <c r="C7" s="73"/>
      <c r="D7" s="71"/>
      <c r="E7" s="71"/>
      <c r="F7" s="71"/>
    </row>
    <row r="8" spans="2:6" ht="15.75" outlineLevel="1" thickBot="1">
      <c r="B8" s="74"/>
      <c r="C8" s="74" t="s">
        <v>75</v>
      </c>
      <c r="D8" s="68">
        <v>75000</v>
      </c>
      <c r="E8" s="68">
        <v>150000</v>
      </c>
      <c r="F8" s="68">
        <v>75000</v>
      </c>
    </row>
    <row r="9" spans="2:6">
      <c r="B9" t="s">
        <v>12</v>
      </c>
    </row>
    <row r="10" spans="2:6">
      <c r="B10" t="s">
        <v>13</v>
      </c>
    </row>
    <row r="11" spans="2:6">
      <c r="B11" t="s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000"/>
  <sheetViews>
    <sheetView topLeftCell="D1" zoomScale="205" zoomScaleNormal="205" workbookViewId="0">
      <selection activeCell="I1" sqref="I1"/>
    </sheetView>
  </sheetViews>
  <sheetFormatPr defaultColWidth="14.42578125" defaultRowHeight="15" customHeight="1"/>
  <cols>
    <col min="1" max="1" width="8.7109375" customWidth="1"/>
    <col min="2" max="2" width="13.5703125" customWidth="1"/>
    <col min="3" max="3" width="13.7109375" customWidth="1"/>
    <col min="4" max="4" width="8.7109375" customWidth="1"/>
    <col min="5" max="5" width="11.42578125" customWidth="1"/>
    <col min="6" max="6" width="15.5703125" customWidth="1"/>
    <col min="7" max="8" width="8.7109375" customWidth="1"/>
    <col min="9" max="9" width="14" customWidth="1"/>
    <col min="10" max="10" width="8.7109375" customWidth="1"/>
    <col min="11" max="11" width="21.85546875" customWidth="1"/>
    <col min="12" max="12" width="14.140625" customWidth="1"/>
    <col min="13" max="26" width="8.7109375" customWidth="1"/>
  </cols>
  <sheetData>
    <row r="2" spans="2:13">
      <c r="B2" s="49" t="s">
        <v>15</v>
      </c>
      <c r="C2" s="50"/>
      <c r="E2" s="9" t="s">
        <v>16</v>
      </c>
      <c r="F2" s="9" t="s">
        <v>17</v>
      </c>
      <c r="K2" s="51" t="s">
        <v>18</v>
      </c>
      <c r="L2" s="50"/>
      <c r="M2" s="7"/>
    </row>
    <row r="3" spans="2:13">
      <c r="B3" s="10" t="s">
        <v>16</v>
      </c>
      <c r="C3" s="11" t="s">
        <v>19</v>
      </c>
      <c r="E3" s="9" t="s">
        <v>20</v>
      </c>
      <c r="F3" s="12">
        <v>60000</v>
      </c>
      <c r="K3" s="13" t="s">
        <v>21</v>
      </c>
      <c r="L3" s="14">
        <v>20</v>
      </c>
    </row>
    <row r="4" spans="2:13">
      <c r="B4" s="15" t="s">
        <v>22</v>
      </c>
      <c r="C4" s="16">
        <v>40.000000000000007</v>
      </c>
      <c r="E4" s="9" t="s">
        <v>23</v>
      </c>
      <c r="F4" s="12">
        <v>15000</v>
      </c>
      <c r="K4" s="13" t="s">
        <v>24</v>
      </c>
      <c r="L4" s="17">
        <v>20000</v>
      </c>
    </row>
    <row r="5" spans="2:13">
      <c r="B5" s="15" t="s">
        <v>25</v>
      </c>
      <c r="C5" s="18">
        <v>374.99999999999994</v>
      </c>
      <c r="E5" s="9" t="s">
        <v>26</v>
      </c>
      <c r="F5" s="19">
        <v>0.02</v>
      </c>
      <c r="K5" s="13" t="s">
        <v>27</v>
      </c>
      <c r="L5" s="17">
        <v>24000</v>
      </c>
    </row>
    <row r="6" spans="2:13">
      <c r="B6" s="20" t="s">
        <v>28</v>
      </c>
      <c r="C6" s="21">
        <f>C5*C4</f>
        <v>15000</v>
      </c>
      <c r="E6" s="9" t="s">
        <v>29</v>
      </c>
      <c r="F6" s="22">
        <v>6.0268143132158141</v>
      </c>
      <c r="K6" s="13" t="s">
        <v>30</v>
      </c>
      <c r="L6" s="17">
        <v>10000</v>
      </c>
    </row>
    <row r="7" spans="2:13">
      <c r="E7" s="23" t="s">
        <v>31</v>
      </c>
      <c r="F7" s="12">
        <f>-PMT(F5,F6,F3-F4,0,0)</f>
        <v>8000.0000002948636</v>
      </c>
      <c r="K7" s="24" t="s">
        <v>32</v>
      </c>
      <c r="L7" s="25">
        <f>SUM(L4:L6)</f>
        <v>54000</v>
      </c>
    </row>
    <row r="9" spans="2:13">
      <c r="K9" s="13" t="s">
        <v>33</v>
      </c>
      <c r="L9" s="26">
        <v>600</v>
      </c>
    </row>
    <row r="10" spans="2:13">
      <c r="B10" s="27" t="s">
        <v>34</v>
      </c>
      <c r="C10" s="27" t="s">
        <v>35</v>
      </c>
      <c r="D10" s="27" t="s">
        <v>36</v>
      </c>
      <c r="E10" s="27" t="s">
        <v>37</v>
      </c>
      <c r="F10" s="27" t="s">
        <v>38</v>
      </c>
      <c r="G10" s="27" t="s">
        <v>39</v>
      </c>
      <c r="H10" s="28" t="s">
        <v>40</v>
      </c>
      <c r="I10" s="29" t="s">
        <v>41</v>
      </c>
      <c r="K10" s="13" t="s">
        <v>42</v>
      </c>
      <c r="L10" s="30">
        <v>10</v>
      </c>
    </row>
    <row r="11" spans="2:13">
      <c r="B11" s="31" t="s">
        <v>43</v>
      </c>
      <c r="C11" s="31">
        <v>89</v>
      </c>
      <c r="D11" s="31">
        <v>92</v>
      </c>
      <c r="E11" s="31">
        <v>88</v>
      </c>
      <c r="F11" s="31"/>
      <c r="G11" s="31">
        <v>90</v>
      </c>
      <c r="H11" s="31">
        <f>SUM(C11:G11)</f>
        <v>359</v>
      </c>
      <c r="I11" s="32">
        <f>H11/500</f>
        <v>0.71799999999999997</v>
      </c>
      <c r="K11" s="24" t="s">
        <v>44</v>
      </c>
      <c r="L11" s="33">
        <f>L10*L9*L3</f>
        <v>120000</v>
      </c>
    </row>
    <row r="13" spans="2:13">
      <c r="K13" s="13" t="s">
        <v>45</v>
      </c>
      <c r="L13" s="30">
        <v>25</v>
      </c>
    </row>
    <row r="14" spans="2:13">
      <c r="K14" s="24" t="s">
        <v>46</v>
      </c>
      <c r="L14" s="34">
        <f>L11*L13</f>
        <v>3000000</v>
      </c>
    </row>
    <row r="16" spans="2:13">
      <c r="K16" s="35" t="s">
        <v>47</v>
      </c>
      <c r="L16" s="36">
        <f>L14-L7</f>
        <v>2946000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C2"/>
    <mergeCell ref="K2:L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000"/>
  <sheetViews>
    <sheetView tabSelected="1" topLeftCell="C1" zoomScale="235" zoomScaleNormal="235" workbookViewId="0">
      <selection activeCell="K12" sqref="K12"/>
    </sheetView>
  </sheetViews>
  <sheetFormatPr defaultColWidth="14.42578125" defaultRowHeight="15" customHeight="1"/>
  <cols>
    <col min="1" max="1" width="12.7109375" customWidth="1"/>
    <col min="2" max="2" width="11.5703125" customWidth="1"/>
    <col min="3" max="26" width="8.7109375" customWidth="1"/>
  </cols>
  <sheetData>
    <row r="1" spans="1:18">
      <c r="A1" s="52" t="s">
        <v>48</v>
      </c>
      <c r="B1" s="53"/>
    </row>
    <row r="2" spans="1:18">
      <c r="A2" s="37" t="s">
        <v>49</v>
      </c>
      <c r="B2" s="38">
        <v>250</v>
      </c>
    </row>
    <row r="3" spans="1:18">
      <c r="A3" s="37" t="s">
        <v>20</v>
      </c>
      <c r="B3" s="38">
        <v>50</v>
      </c>
    </row>
    <row r="4" spans="1:18">
      <c r="A4" s="37" t="s">
        <v>50</v>
      </c>
      <c r="B4" s="39">
        <v>0.6</v>
      </c>
      <c r="D4" s="54" t="s">
        <v>51</v>
      </c>
      <c r="E4" s="55"/>
      <c r="F4" s="55"/>
      <c r="G4" s="55"/>
      <c r="H4" s="55"/>
      <c r="I4" s="55"/>
      <c r="J4" s="55"/>
      <c r="K4" s="50"/>
    </row>
    <row r="5" spans="1:18">
      <c r="A5" s="40" t="s">
        <v>52</v>
      </c>
      <c r="B5" s="41">
        <f>B2*B3*B4</f>
        <v>7500</v>
      </c>
      <c r="F5" s="56" t="s">
        <v>3</v>
      </c>
      <c r="G5" s="57"/>
      <c r="H5" s="57"/>
      <c r="I5" s="57"/>
      <c r="J5" s="57"/>
      <c r="K5" s="58"/>
    </row>
    <row r="6" spans="1:18">
      <c r="E6" s="42">
        <f>B5</f>
        <v>7500</v>
      </c>
      <c r="F6" s="43">
        <f t="array" ref="F6:K6">TRANSPOSE(A20:A25)</f>
        <v>10</v>
      </c>
      <c r="G6" s="43">
        <v>20</v>
      </c>
      <c r="H6" s="43">
        <v>50</v>
      </c>
      <c r="I6" s="43">
        <v>100</v>
      </c>
      <c r="J6" s="43">
        <v>150</v>
      </c>
      <c r="K6" s="43">
        <v>200</v>
      </c>
      <c r="M6" s="8">
        <f t="array" ref="M6:R6">TRANSPOSE(A20:A25)</f>
        <v>10</v>
      </c>
      <c r="N6" s="8">
        <v>20</v>
      </c>
      <c r="O6" s="8">
        <v>50</v>
      </c>
      <c r="P6" s="8">
        <v>100</v>
      </c>
      <c r="Q6" s="8">
        <v>150</v>
      </c>
      <c r="R6" s="8">
        <v>200</v>
      </c>
    </row>
    <row r="7" spans="1:18">
      <c r="D7" s="59" t="s">
        <v>22</v>
      </c>
      <c r="E7" s="44">
        <v>100</v>
      </c>
      <c r="F7" s="31">
        <f t="dataTable" ref="F7:K12" dt2D="1" dtr="1" r1="B2" r2="B3" ca="1"/>
        <v>600</v>
      </c>
      <c r="G7" s="31">
        <v>1200</v>
      </c>
      <c r="H7" s="31">
        <v>3000</v>
      </c>
      <c r="I7" s="31">
        <v>6000</v>
      </c>
      <c r="J7" s="31">
        <v>9000</v>
      </c>
      <c r="K7" s="31">
        <v>12000</v>
      </c>
    </row>
    <row r="8" spans="1:18">
      <c r="A8" s="27" t="s">
        <v>22</v>
      </c>
      <c r="B8" s="27" t="s">
        <v>53</v>
      </c>
      <c r="D8" s="60"/>
      <c r="E8" s="44">
        <v>200</v>
      </c>
      <c r="F8" s="31">
        <v>1200</v>
      </c>
      <c r="G8" s="31">
        <v>2400</v>
      </c>
      <c r="H8" s="31">
        <v>6000</v>
      </c>
      <c r="I8" s="31">
        <v>12000</v>
      </c>
      <c r="J8" s="31">
        <v>18000</v>
      </c>
      <c r="K8" s="31">
        <v>24000</v>
      </c>
    </row>
    <row r="9" spans="1:18">
      <c r="A9" s="31"/>
      <c r="B9" s="45">
        <f>B5</f>
        <v>7500</v>
      </c>
      <c r="D9" s="60"/>
      <c r="E9" s="44">
        <v>250</v>
      </c>
      <c r="F9" s="31">
        <v>1500</v>
      </c>
      <c r="G9" s="31">
        <v>3000</v>
      </c>
      <c r="H9" s="31">
        <v>7500</v>
      </c>
      <c r="I9" s="31">
        <v>15000</v>
      </c>
      <c r="J9" s="31">
        <v>22500</v>
      </c>
      <c r="K9" s="31">
        <v>30000</v>
      </c>
    </row>
    <row r="10" spans="1:18">
      <c r="A10" s="46">
        <v>100</v>
      </c>
      <c r="B10" s="27">
        <f t="dataTable" ref="B10:B15" dt2D="0" dtr="0" r1="B2"/>
        <v>3000</v>
      </c>
      <c r="D10" s="60"/>
      <c r="E10" s="44">
        <v>300</v>
      </c>
      <c r="F10" s="31">
        <v>1800</v>
      </c>
      <c r="G10" s="31">
        <v>3600</v>
      </c>
      <c r="H10" s="31">
        <v>9000</v>
      </c>
      <c r="I10" s="79">
        <v>18000</v>
      </c>
      <c r="J10" s="31">
        <v>27000</v>
      </c>
      <c r="K10" s="31">
        <v>36000</v>
      </c>
    </row>
    <row r="11" spans="1:18">
      <c r="A11" s="46">
        <v>200</v>
      </c>
      <c r="B11" s="27">
        <v>6000</v>
      </c>
      <c r="D11" s="60"/>
      <c r="E11" s="44">
        <v>450</v>
      </c>
      <c r="F11" s="31">
        <v>2700</v>
      </c>
      <c r="G11" s="31">
        <v>5400</v>
      </c>
      <c r="H11" s="31">
        <v>13500</v>
      </c>
      <c r="I11" s="31">
        <v>27000</v>
      </c>
      <c r="J11" s="31">
        <v>40500</v>
      </c>
      <c r="K11" s="31">
        <v>54000</v>
      </c>
    </row>
    <row r="12" spans="1:18">
      <c r="A12" s="46">
        <v>250</v>
      </c>
      <c r="B12" s="27">
        <v>7500</v>
      </c>
      <c r="D12" s="61"/>
      <c r="E12" s="44">
        <v>500</v>
      </c>
      <c r="F12" s="31">
        <v>3000</v>
      </c>
      <c r="G12" s="31">
        <v>6000</v>
      </c>
      <c r="H12" s="31">
        <v>15000</v>
      </c>
      <c r="I12" s="31">
        <v>30000</v>
      </c>
      <c r="J12" s="31">
        <v>45000</v>
      </c>
      <c r="K12" s="31">
        <v>60000</v>
      </c>
    </row>
    <row r="13" spans="1:18">
      <c r="A13" s="46">
        <v>300</v>
      </c>
      <c r="B13" s="27">
        <v>9000</v>
      </c>
    </row>
    <row r="14" spans="1:18">
      <c r="A14" s="46">
        <v>450</v>
      </c>
      <c r="B14" s="27">
        <v>13500</v>
      </c>
    </row>
    <row r="15" spans="1:18">
      <c r="A15" s="46">
        <v>500</v>
      </c>
      <c r="B15" s="27">
        <v>15000</v>
      </c>
    </row>
    <row r="18" spans="1:9">
      <c r="A18" s="27" t="s">
        <v>3</v>
      </c>
      <c r="B18" s="27" t="s">
        <v>53</v>
      </c>
    </row>
    <row r="19" spans="1:9">
      <c r="A19" s="31"/>
      <c r="B19" s="45">
        <f>B5</f>
        <v>7500</v>
      </c>
      <c r="E19" s="27" t="s">
        <v>22</v>
      </c>
      <c r="F19" s="27" t="s">
        <v>53</v>
      </c>
      <c r="H19" s="27"/>
      <c r="I19" s="27"/>
    </row>
    <row r="20" spans="1:9">
      <c r="A20" s="31">
        <v>10</v>
      </c>
      <c r="B20" s="27">
        <f t="dataTable" ref="B20:B25" dt2D="0" dtr="0" r1="B3" ca="1"/>
        <v>1500</v>
      </c>
      <c r="E20" s="46">
        <v>100</v>
      </c>
      <c r="F20" s="27">
        <v>3000</v>
      </c>
      <c r="H20" s="46"/>
      <c r="I20" s="27"/>
    </row>
    <row r="21" spans="1:9" ht="15.75" customHeight="1">
      <c r="A21" s="31">
        <v>20</v>
      </c>
      <c r="B21" s="27">
        <v>3000</v>
      </c>
      <c r="E21" s="46">
        <v>200</v>
      </c>
      <c r="F21" s="27">
        <v>6000</v>
      </c>
      <c r="H21" s="46"/>
      <c r="I21" s="27"/>
    </row>
    <row r="22" spans="1:9" ht="15.75" hidden="1" customHeight="1">
      <c r="A22" s="31">
        <v>50</v>
      </c>
      <c r="B22" s="27">
        <v>7500</v>
      </c>
      <c r="E22" s="46">
        <v>250</v>
      </c>
      <c r="F22" s="27">
        <v>7500</v>
      </c>
      <c r="H22" s="46"/>
      <c r="I22" s="27"/>
    </row>
    <row r="23" spans="1:9" ht="15.75" customHeight="1">
      <c r="A23" s="31">
        <v>100</v>
      </c>
      <c r="B23" s="27">
        <v>15000</v>
      </c>
      <c r="E23" s="46">
        <v>300</v>
      </c>
      <c r="F23" s="27">
        <v>9000</v>
      </c>
      <c r="H23" s="46"/>
      <c r="I23" s="27"/>
    </row>
    <row r="24" spans="1:9" ht="15.75" customHeight="1">
      <c r="A24" s="31">
        <v>150</v>
      </c>
      <c r="B24" s="27">
        <v>22500</v>
      </c>
      <c r="E24" s="46">
        <v>450</v>
      </c>
      <c r="F24" s="27">
        <v>13500</v>
      </c>
      <c r="H24" s="46"/>
      <c r="I24" s="27"/>
    </row>
    <row r="25" spans="1:9" ht="15.75" customHeight="1">
      <c r="A25" s="31">
        <v>200</v>
      </c>
      <c r="B25" s="27">
        <v>30000</v>
      </c>
      <c r="E25" s="46">
        <v>500</v>
      </c>
      <c r="F25" s="27">
        <v>15000</v>
      </c>
      <c r="H25" s="46"/>
      <c r="I25" s="27"/>
    </row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E19:F25">
    <filterColumn colId="0">
      <filters>
        <filter val="100"/>
        <filter val="200"/>
        <filter val="300"/>
        <filter val="450"/>
        <filter val="500"/>
      </filters>
    </filterColumn>
  </autoFilter>
  <mergeCells count="4">
    <mergeCell ref="A1:B1"/>
    <mergeCell ref="D4:K4"/>
    <mergeCell ref="F5:K5"/>
    <mergeCell ref="D7:D12"/>
  </mergeCells>
  <conditionalFormatting sqref="B10:B15">
    <cfRule type="expression" dxfId="3" priority="1">
      <formula>$B$10:$B$15&gt;8000</formula>
    </cfRule>
  </conditionalFormatting>
  <conditionalFormatting sqref="I20:I25">
    <cfRule type="expression" dxfId="2" priority="2">
      <formula>$B$10:$B$15&gt;8000</formula>
    </cfRule>
  </conditionalFormatting>
  <conditionalFormatting sqref="G14">
    <cfRule type="notContainsBlanks" dxfId="1" priority="3">
      <formula>LEN(TRIM(G14))&gt;0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000"/>
  <sheetViews>
    <sheetView workbookViewId="0"/>
  </sheetViews>
  <sheetFormatPr defaultColWidth="14.42578125" defaultRowHeight="15" customHeight="1"/>
  <cols>
    <col min="1" max="1" width="8.7109375" customWidth="1"/>
    <col min="2" max="2" width="28.140625" customWidth="1"/>
    <col min="3" max="3" width="17.140625" customWidth="1"/>
    <col min="4" max="4" width="12.42578125" customWidth="1"/>
    <col min="5" max="5" width="18.28515625" customWidth="1"/>
    <col min="6" max="26" width="8.7109375" customWidth="1"/>
  </cols>
  <sheetData>
    <row r="3" spans="2:5">
      <c r="B3" s="47" t="s">
        <v>54</v>
      </c>
      <c r="C3" s="47" t="s">
        <v>55</v>
      </c>
      <c r="D3" s="47" t="s">
        <v>56</v>
      </c>
      <c r="E3" s="47" t="s">
        <v>57</v>
      </c>
    </row>
    <row r="4" spans="2:5">
      <c r="B4" s="31" t="s">
        <v>58</v>
      </c>
      <c r="C4" s="31" t="s">
        <v>59</v>
      </c>
      <c r="D4" s="31">
        <v>88</v>
      </c>
      <c r="E4" s="48">
        <f ca="1">TODAY()</f>
        <v>46077</v>
      </c>
    </row>
    <row r="5" spans="2:5">
      <c r="B5" s="31" t="s">
        <v>60</v>
      </c>
      <c r="C5" s="31" t="s">
        <v>61</v>
      </c>
      <c r="D5" s="31">
        <v>92</v>
      </c>
      <c r="E5" s="48">
        <v>46016</v>
      </c>
    </row>
    <row r="6" spans="2:5">
      <c r="B6" s="31" t="s">
        <v>62</v>
      </c>
      <c r="C6" s="31" t="s">
        <v>63</v>
      </c>
      <c r="D6" s="31">
        <v>76</v>
      </c>
      <c r="E6" s="48">
        <v>46011</v>
      </c>
    </row>
    <row r="7" spans="2:5">
      <c r="B7" s="31" t="s">
        <v>64</v>
      </c>
      <c r="C7" s="31" t="s">
        <v>65</v>
      </c>
      <c r="D7" s="31">
        <v>81</v>
      </c>
      <c r="E7" s="48">
        <v>46001</v>
      </c>
    </row>
    <row r="8" spans="2:5">
      <c r="B8" s="31" t="s">
        <v>66</v>
      </c>
      <c r="C8" s="31" t="s">
        <v>59</v>
      </c>
      <c r="D8" s="31">
        <v>67</v>
      </c>
      <c r="E8" s="48">
        <v>45986</v>
      </c>
    </row>
    <row r="9" spans="2:5">
      <c r="B9" s="31" t="s">
        <v>67</v>
      </c>
      <c r="C9" s="31" t="s">
        <v>68</v>
      </c>
      <c r="D9" s="31">
        <v>90</v>
      </c>
      <c r="E9" s="48">
        <v>45987</v>
      </c>
    </row>
    <row r="10" spans="2:5">
      <c r="B10" s="31" t="s">
        <v>69</v>
      </c>
      <c r="C10" s="31" t="s">
        <v>70</v>
      </c>
      <c r="D10" s="31">
        <v>73</v>
      </c>
      <c r="E10" s="48">
        <v>45988</v>
      </c>
    </row>
    <row r="11" spans="2:5">
      <c r="B11" s="31" t="s">
        <v>71</v>
      </c>
      <c r="C11" s="31" t="s">
        <v>65</v>
      </c>
      <c r="D11" s="31">
        <v>85</v>
      </c>
      <c r="E11" s="48">
        <v>45989</v>
      </c>
    </row>
    <row r="12" spans="2:5">
      <c r="B12" s="31" t="s">
        <v>72</v>
      </c>
      <c r="C12" s="31" t="s">
        <v>59</v>
      </c>
      <c r="D12" s="31">
        <v>79</v>
      </c>
      <c r="E12" s="48">
        <v>45990</v>
      </c>
    </row>
    <row r="13" spans="2:5">
      <c r="B13" s="31" t="s">
        <v>73</v>
      </c>
      <c r="C13" s="31" t="s">
        <v>61</v>
      </c>
      <c r="D13" s="31">
        <v>95</v>
      </c>
      <c r="E13" s="48">
        <v>45991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13">
    <cfRule type="timePeriod" dxfId="0" priority="1" timePeriod="yesterday">
      <formula>FLOOR(E4,1)=TODAY()-1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What_if(Scenario_manager)</vt:lpstr>
      <vt:lpstr>Scenario Summary</vt:lpstr>
      <vt:lpstr>Goal Seek</vt:lpstr>
      <vt:lpstr>Data_Table</vt:lpstr>
      <vt:lpstr>Conditional_Formating</vt:lpstr>
      <vt:lpstr>Discount</vt:lpstr>
      <vt:lpstr>Final_Amount</vt:lpstr>
      <vt:lpstr>Sales_Amount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krunal sir</dc:creator>
  <cp:lastModifiedBy>admin</cp:lastModifiedBy>
  <dcterms:created xsi:type="dcterms:W3CDTF">2025-12-29T05:15:45Z</dcterms:created>
  <dcterms:modified xsi:type="dcterms:W3CDTF">2026-02-24T13:30:58Z</dcterms:modified>
</cp:coreProperties>
</file>