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runal sir\Documents\AI.ml\Excel\"/>
    </mc:Choice>
  </mc:AlternateContent>
  <bookViews>
    <workbookView xWindow="0" yWindow="0" windowWidth="27300" windowHeight="10980" activeTab="1"/>
  </bookViews>
  <sheets>
    <sheet name="Theory" sheetId="1" r:id="rId1"/>
    <sheet name="Pizza Price Prediction" sheetId="2" r:id="rId2"/>
    <sheet name="Lemonade Sold Prediction" sheetId="3" r:id="rId3"/>
    <sheet name="House Price Prediction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2" l="1"/>
  <c r="C16" i="2"/>
  <c r="C24" i="2"/>
  <c r="C23" i="2"/>
  <c r="C22" i="2"/>
  <c r="C21" i="2"/>
  <c r="C20" i="2"/>
  <c r="C19" i="2"/>
  <c r="C18" i="2"/>
  <c r="C17" i="2"/>
  <c r="C13" i="3" l="1"/>
  <c r="C14" i="3"/>
  <c r="C15" i="3"/>
  <c r="C16" i="3"/>
  <c r="C17" i="3"/>
  <c r="C18" i="3"/>
  <c r="C19" i="3"/>
  <c r="C20" i="3"/>
  <c r="C12" i="3"/>
  <c r="G16" i="3"/>
  <c r="G15" i="3"/>
  <c r="F16" i="3"/>
  <c r="F15" i="3"/>
  <c r="L6" i="3"/>
  <c r="K6" i="3"/>
  <c r="K9" i="3"/>
  <c r="K7" i="3"/>
  <c r="K8" i="3"/>
  <c r="J6" i="3"/>
  <c r="I9" i="3"/>
  <c r="I8" i="3"/>
  <c r="I7" i="3"/>
  <c r="I6" i="3"/>
  <c r="H7" i="3"/>
  <c r="H8" i="3"/>
  <c r="H9" i="3"/>
  <c r="H6" i="3"/>
  <c r="G7" i="3"/>
  <c r="G8" i="3"/>
  <c r="G9" i="3"/>
  <c r="G6" i="3"/>
  <c r="F6" i="3"/>
  <c r="E6" i="3"/>
  <c r="C6" i="2"/>
  <c r="C7" i="2"/>
  <c r="C8" i="2"/>
  <c r="C9" i="2"/>
  <c r="C10" i="2"/>
  <c r="C11" i="2"/>
  <c r="C12" i="2"/>
  <c r="C13" i="2"/>
  <c r="C5" i="2"/>
  <c r="G14" i="2"/>
  <c r="F15" i="2"/>
  <c r="F14" i="2"/>
  <c r="N5" i="2"/>
  <c r="M8" i="2"/>
  <c r="M7" i="2"/>
  <c r="M6" i="2"/>
  <c r="M5" i="2"/>
  <c r="L5" i="2"/>
  <c r="K8" i="2"/>
  <c r="K7" i="2"/>
  <c r="K6" i="2"/>
  <c r="K5" i="2"/>
  <c r="J6" i="2"/>
  <c r="J7" i="2"/>
  <c r="J8" i="2"/>
  <c r="J5" i="2"/>
  <c r="I6" i="2"/>
  <c r="I7" i="2"/>
  <c r="I8" i="2"/>
  <c r="I5" i="2"/>
  <c r="G5" i="2"/>
  <c r="H5" i="2"/>
  <c r="C44" i="5" l="1"/>
  <c r="C43" i="5"/>
  <c r="C42" i="5"/>
  <c r="C41" i="5"/>
  <c r="C40" i="5"/>
  <c r="C39" i="5"/>
  <c r="C38" i="5"/>
  <c r="C37" i="5"/>
  <c r="C36" i="5"/>
  <c r="C13" i="5" l="1"/>
  <c r="C14" i="5"/>
  <c r="C15" i="5"/>
  <c r="C16" i="5"/>
  <c r="C17" i="5"/>
  <c r="C18" i="5"/>
  <c r="C19" i="5"/>
  <c r="C20" i="5"/>
  <c r="C12" i="5"/>
  <c r="G16" i="5"/>
  <c r="G15" i="5"/>
  <c r="F16" i="5"/>
  <c r="F15" i="5"/>
  <c r="L6" i="5"/>
  <c r="K7" i="5"/>
  <c r="K8" i="5"/>
  <c r="K9" i="5"/>
  <c r="K6" i="5"/>
  <c r="J6" i="5"/>
  <c r="I7" i="5"/>
  <c r="I8" i="5"/>
  <c r="I9" i="5"/>
  <c r="I6" i="5"/>
  <c r="H7" i="5"/>
  <c r="H8" i="5"/>
  <c r="H9" i="5"/>
  <c r="H6" i="5"/>
  <c r="G7" i="5"/>
  <c r="G8" i="5"/>
  <c r="G9" i="5"/>
  <c r="G6" i="5"/>
  <c r="F6" i="5"/>
  <c r="E6" i="5"/>
</calcChain>
</file>

<file path=xl/sharedStrings.xml><?xml version="1.0" encoding="utf-8"?>
<sst xmlns="http://schemas.openxmlformats.org/spreadsheetml/2006/main" count="205" uniqueCount="76">
  <si>
    <t>Linear Regression is a machine learning algorithm used to find relationships between two variables and make predictions.
It fits a straight line through the given data points to show the trend.</t>
  </si>
  <si>
    <t>Linear Regression</t>
  </si>
  <si>
    <t>X = Known value (independent variable)</t>
  </si>
  <si>
    <t xml:space="preserve">Where:                                                                                                                                                           </t>
  </si>
  <si>
    <t xml:space="preserve">Y = What we want to predict (dependent variable)                </t>
  </si>
  <si>
    <t xml:space="preserve">m = Slope (Rate of change)           </t>
  </si>
  <si>
    <t>Calculating Slope (m) and Intercept ©</t>
  </si>
  <si>
    <t>Manually</t>
  </si>
  <si>
    <t>Slope (m) = Sum of Product of Deviations / Sum of Square of deviation for X</t>
  </si>
  <si>
    <t>Intercept (c) = Mean of Y − (m * Mean of X)</t>
  </si>
  <si>
    <t>By Formula</t>
  </si>
  <si>
    <t>m = SLOPE(Ys, Xs)</t>
  </si>
  <si>
    <t>c = INTERCEPT(Ys, Xs)</t>
  </si>
  <si>
    <t>c = Intercept (where the line starts ==&gt; Starting value when X=0)</t>
  </si>
  <si>
    <t>X</t>
  </si>
  <si>
    <t>Y</t>
  </si>
  <si>
    <t>Pizza Size (inch)</t>
  </si>
  <si>
    <t>Price</t>
  </si>
  <si>
    <t>Calculation for Slope &amp; Intercept</t>
  </si>
  <si>
    <t>Mean (of X)</t>
  </si>
  <si>
    <t>Mean (of Y)</t>
  </si>
  <si>
    <t>Product of Deviations</t>
  </si>
  <si>
    <t>Sum of Product of Deviations</t>
  </si>
  <si>
    <t>Deviations                  (of X)</t>
  </si>
  <si>
    <t>Deviations              (of Y)</t>
  </si>
  <si>
    <t>Slope (m) =</t>
  </si>
  <si>
    <t>Intercept (c) =</t>
  </si>
  <si>
    <r>
      <rPr>
        <b/>
        <sz val="11"/>
        <color theme="1"/>
        <rFont val="Calibri"/>
        <family val="2"/>
        <scheme val="minor"/>
      </rPr>
      <t>Slope (m) =</t>
    </r>
    <r>
      <rPr>
        <sz val="11"/>
        <color theme="1"/>
        <rFont val="Calibri"/>
        <family val="2"/>
        <scheme val="minor"/>
      </rPr>
      <t xml:space="preserve"> Sum of Product of Deviations / Sum of Square of deviation for X</t>
    </r>
  </si>
  <si>
    <r>
      <rPr>
        <b/>
        <sz val="11"/>
        <color theme="1"/>
        <rFont val="Calibri"/>
        <family val="2"/>
        <scheme val="minor"/>
      </rPr>
      <t xml:space="preserve">Intercept (c) = </t>
    </r>
    <r>
      <rPr>
        <sz val="11"/>
        <color theme="1"/>
        <rFont val="Calibri"/>
        <family val="2"/>
        <scheme val="minor"/>
      </rPr>
      <t>Mean of Y - (m * Mean of X)</t>
    </r>
  </si>
  <si>
    <t>Square of Deviations Of (X)</t>
  </si>
  <si>
    <t>Sum of Square of deviation for (X)</t>
  </si>
  <si>
    <t>?</t>
  </si>
  <si>
    <t xml:space="preserve">Y = Mx + c            </t>
  </si>
  <si>
    <t>Estimated price</t>
  </si>
  <si>
    <t>Temprature(C)</t>
  </si>
  <si>
    <t>Lamonade Sold</t>
  </si>
  <si>
    <t>House Size(Sq.ft.)</t>
  </si>
  <si>
    <t>|| M.Bean Pizza pi Shop ||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</si>
  <si>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</si>
  <si>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</si>
  <si>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</si>
  <si>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</si>
  <si>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</si>
  <si>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</si>
  <si>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</si>
  <si>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</si>
  <si>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</si>
  <si>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</si>
  <si>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</si>
  <si>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</si>
  <si>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</si>
  <si>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</si>
  <si>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</si>
  <si>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</si>
  <si>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</si>
  <si>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</si>
  <si>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</si>
  <si>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</si>
  <si>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</si>
  <si>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</si>
  <si>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</si>
  <si>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</si>
  <si>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</si>
  <si>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</si>
  <si>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</si>
  <si>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</si>
  <si>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</si>
  <si>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</si>
  <si>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</si>
  <si>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</si>
  <si>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</si>
  <si>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</si>
  <si>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</si>
  <si>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</si>
  <si>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</si>
  <si>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r>
      <rPr>
        <b/>
        <sz val="20"/>
        <color theme="5" tint="-0.249977111117893"/>
        <rFont val="Calibri"/>
        <family val="2"/>
        <scheme val="minor"/>
      </rPr>
      <t>Y</t>
    </r>
    <r>
      <rPr>
        <b/>
        <sz val="20"/>
        <color theme="1"/>
        <rFont val="Calibri"/>
        <family val="2"/>
        <scheme val="minor"/>
      </rPr>
      <t xml:space="preserve"> = </t>
    </r>
    <r>
      <rPr>
        <b/>
        <sz val="20"/>
        <color theme="8"/>
        <rFont val="Calibri"/>
        <family val="2"/>
        <scheme val="minor"/>
      </rPr>
      <t>mX + 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</si>
</sst>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₹-4009]\ #,##0"/>
    <numFmt numFmtId="165" formatCode="[$₹-4009]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5" tint="-0.249977111117893"/>
      <name val="Calibri"/>
      <family val="2"/>
      <scheme val="minor"/>
    </font>
    <font>
      <b/>
      <sz val="20"/>
      <color theme="8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7"/>
      </left>
      <right style="thin">
        <color theme="7"/>
      </right>
      <top style="thin">
        <color indexed="64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indexed="64"/>
      </bottom>
      <diagonal/>
    </border>
    <border>
      <left style="thin">
        <color indexed="64"/>
      </left>
      <right style="thin">
        <color theme="7"/>
      </right>
      <top style="thin">
        <color indexed="64"/>
      </top>
      <bottom style="thin">
        <color theme="7"/>
      </bottom>
      <diagonal/>
    </border>
    <border>
      <left style="thin">
        <color theme="7"/>
      </left>
      <right style="thin">
        <color indexed="64"/>
      </right>
      <top style="thin">
        <color indexed="64"/>
      </top>
      <bottom style="thin">
        <color theme="7"/>
      </bottom>
      <diagonal/>
    </border>
    <border>
      <left style="thin">
        <color indexed="64"/>
      </left>
      <right style="thin">
        <color theme="7"/>
      </right>
      <top style="thin">
        <color theme="7"/>
      </top>
      <bottom style="thin">
        <color indexed="64"/>
      </bottom>
      <diagonal/>
    </border>
    <border>
      <left style="thin">
        <color theme="7"/>
      </left>
      <right style="thin">
        <color indexed="64"/>
      </right>
      <top style="thin">
        <color theme="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11" borderId="1" xfId="0" applyFont="1" applyFill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/>
    <xf numFmtId="0" fontId="1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0" fillId="0" borderId="2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165" fontId="0" fillId="9" borderId="1" xfId="0" applyNumberFormat="1" applyFill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Font="1" applyBorder="1" applyAlignment="1">
      <alignment horizontal="center"/>
    </xf>
    <xf numFmtId="0" fontId="0" fillId="0" borderId="0" xfId="0" applyFill="1" applyBorder="1" applyAlignment="1"/>
    <xf numFmtId="0" fontId="0" fillId="0" borderId="21" xfId="0" applyFill="1" applyBorder="1" applyAlignment="1"/>
    <xf numFmtId="0" fontId="6" fillId="0" borderId="22" xfId="0" applyFont="1" applyFill="1" applyBorder="1" applyAlignment="1">
      <alignment horizontal="center"/>
    </xf>
    <xf numFmtId="0" fontId="6" fillId="0" borderId="22" xfId="0" applyFont="1" applyFill="1" applyBorder="1" applyAlignment="1">
      <alignment horizontal="centerContinuous"/>
    </xf>
    <xf numFmtId="164" fontId="0" fillId="10" borderId="2" xfId="0" applyNumberFormat="1" applyFont="1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0" fontId="1" fillId="12" borderId="0" xfId="0" applyFont="1" applyFill="1" applyBorder="1" applyAlignment="1"/>
    <xf numFmtId="0" fontId="1" fillId="12" borderId="21" xfId="0" applyFont="1" applyFill="1" applyBorder="1" applyAlignment="1"/>
    <xf numFmtId="0" fontId="6" fillId="0" borderId="23" xfId="0" applyFont="1" applyFill="1" applyBorder="1" applyAlignment="1">
      <alignment horizontal="center"/>
    </xf>
    <xf numFmtId="0" fontId="6" fillId="0" borderId="24" xfId="0" applyFont="1" applyFill="1" applyBorder="1" applyAlignment="1">
      <alignment horizontal="center"/>
    </xf>
    <xf numFmtId="0" fontId="0" fillId="0" borderId="25" xfId="0" applyFill="1" applyBorder="1" applyAlignment="1"/>
    <xf numFmtId="0" fontId="0" fillId="0" borderId="26" xfId="0" applyFill="1" applyBorder="1" applyAlignment="1"/>
    <xf numFmtId="0" fontId="1" fillId="0" borderId="25" xfId="0" applyFont="1" applyFill="1" applyBorder="1" applyAlignment="1">
      <alignment horizontal="left"/>
    </xf>
    <xf numFmtId="0" fontId="0" fillId="0" borderId="26" xfId="0" applyFill="1" applyBorder="1" applyAlignment="1">
      <alignment horizontal="left"/>
    </xf>
    <xf numFmtId="0" fontId="1" fillId="0" borderId="27" xfId="0" applyFont="1" applyFill="1" applyBorder="1" applyAlignment="1">
      <alignment horizontal="left"/>
    </xf>
    <xf numFmtId="0" fontId="0" fillId="0" borderId="28" xfId="0" applyFill="1" applyBorder="1" applyAlignment="1">
      <alignment horizontal="left"/>
    </xf>
    <xf numFmtId="0" fontId="0" fillId="0" borderId="25" xfId="0" applyFill="1" applyBorder="1" applyAlignment="1">
      <alignment horizontal="left"/>
    </xf>
    <xf numFmtId="0" fontId="0" fillId="0" borderId="27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4" borderId="2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5" borderId="2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1" fillId="8" borderId="1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6" fillId="13" borderId="22" xfId="0" applyFont="1" applyFill="1" applyBorder="1" applyAlignment="1">
      <alignment horizontal="center"/>
    </xf>
    <xf numFmtId="0" fontId="0" fillId="13" borderId="0" xfId="0" applyFill="1" applyBorder="1" applyAlignment="1"/>
    <xf numFmtId="0" fontId="0" fillId="13" borderId="21" xfId="0" applyFill="1" applyBorder="1" applyAlignment="1"/>
    <xf numFmtId="0" fontId="6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'Pizza Price Prediction'!$A$16:$A$24</c:f>
              <c:numCache>
                <c:formatCode>General</c:formatCode>
                <c:ptCount val="9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15</c:v>
                </c:pt>
                <c:pt idx="4">
                  <c:v>17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  <c:pt idx="8">
                  <c:v>26</c:v>
                </c:pt>
              </c:numCache>
            </c:numRef>
          </c:xVal>
          <c:yVal>
            <c:numRef>
              <c:f>'Pizza Price Prediction'!$B$16:$B$24</c:f>
              <c:numCache>
                <c:formatCode>[$₹-4009]\ #,##0</c:formatCode>
                <c:ptCount val="9"/>
                <c:pt idx="0">
                  <c:v>250</c:v>
                </c:pt>
                <c:pt idx="1">
                  <c:v>400</c:v>
                </c:pt>
                <c:pt idx="2">
                  <c:v>625</c:v>
                </c:pt>
                <c:pt idx="3">
                  <c:v>999</c:v>
                </c:pt>
                <c:pt idx="4">
                  <c:v>1192.4018691588785</c:v>
                </c:pt>
                <c:pt idx="5">
                  <c:v>1300.9065420560748</c:v>
                </c:pt>
                <c:pt idx="6">
                  <c:v>1517.9158878504675</c:v>
                </c:pt>
                <c:pt idx="7">
                  <c:v>1900</c:v>
                </c:pt>
                <c:pt idx="8">
                  <c:v>2168.9439252336451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38-4935-9A05-75499AA346D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'Pizza Price Prediction'!$A$16:$A$24</c:f>
              <c:numCache>
                <c:formatCode>General</c:formatCode>
                <c:ptCount val="9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15</c:v>
                </c:pt>
                <c:pt idx="4">
                  <c:v>17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  <c:pt idx="8">
                  <c:v>26</c:v>
                </c:pt>
              </c:numCache>
            </c:numRef>
          </c:xVal>
          <c:yVal>
            <c:numRef>
              <c:f>'Pizza Price Prediction'!$C$16:$C$24</c:f>
              <c:numCache>
                <c:formatCode>[$₹-4009]\ #,##0.00</c:formatCode>
                <c:ptCount val="9"/>
                <c:pt idx="0">
                  <c:v>215.85981308411215</c:v>
                </c:pt>
                <c:pt idx="1">
                  <c:v>432.86915887850478</c:v>
                </c:pt>
                <c:pt idx="2">
                  <c:v>649.87850467289718</c:v>
                </c:pt>
                <c:pt idx="3">
                  <c:v>975.3925233644859</c:v>
                </c:pt>
                <c:pt idx="4">
                  <c:v>1192.4018691588785</c:v>
                </c:pt>
                <c:pt idx="5">
                  <c:v>1300.9065420560748</c:v>
                </c:pt>
                <c:pt idx="6">
                  <c:v>1517.9158878504675</c:v>
                </c:pt>
                <c:pt idx="7">
                  <c:v>1734.9252336448596</c:v>
                </c:pt>
                <c:pt idx="8">
                  <c:v>2168.9439252336451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38-4935-9A05-75499AA34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787344"/>
        <c:axId val="589623072"/>
      </c:scatterChart>
      <c:valAx>
        <c:axId val="51278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623072"/>
        <c:crosses val="autoZero"/>
        <c:crossBetween val="midCat"/>
      </c:valAx>
      <c:valAx>
        <c:axId val="5896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787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113631</xdr:colOff>
      <xdr:row>0</xdr:row>
      <xdr:rowOff>58916</xdr:rowOff>
    </xdr:from>
    <xdr:to>
      <xdr:col>5</xdr:col>
      <xdr:colOff>512378</xdr:colOff>
      <xdr:row>6</xdr:row>
      <xdr:rowOff>172114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7286" y="58916"/>
          <a:ext cx="2408851" cy="1400715"/>
        </a:xfrm>
        <a:prstGeom prst="rect">
          <a:avLst/>
        </a:prstGeom>
      </xdr:spPr>
    </xdr:pic>
    <xdr:clientData/>
  </xdr:twoCellAnchor>
  <xdr:twoCellAnchor>
    <xdr:from>
      <xdr:col>4</xdr:col>
      <xdr:colOff>460003</xdr:colOff>
      <xdr:row>17</xdr:row>
      <xdr:rowOff>63679</xdr:rowOff>
    </xdr:from>
    <xdr:to>
      <xdr:col>10</xdr:col>
      <xdr:colOff>442144</xdr:colOff>
      <xdr:row>31</xdr:row>
      <xdr:rowOff>139879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1051034</xdr:colOff>
      <xdr:row>8</xdr:row>
      <xdr:rowOff>26276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94034" cy="16816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32844</xdr:colOff>
      <xdr:row>1</xdr:row>
      <xdr:rowOff>26276</xdr:rowOff>
    </xdr:from>
    <xdr:to>
      <xdr:col>1</xdr:col>
      <xdr:colOff>1032639</xdr:colOff>
      <xdr:row>7</xdr:row>
      <xdr:rowOff>32845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58"/>
        <a:stretch/>
      </xdr:blipFill>
      <xdr:spPr>
        <a:xfrm>
          <a:off x="32844" y="216776"/>
          <a:ext cx="2142795" cy="1280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6"/>
  <sheetViews>
    <sheetView topLeftCell="A7" zoomScale="175" zoomScaleNormal="175" workbookViewId="0">
      <selection activeCell="D25" sqref="D25:J25"/>
    </sheetView>
  </sheetViews>
  <sheetFormatPr defaultRowHeight="15" x14ac:dyDescent="0.25"/>
  <cols>
    <col min="2" max="2" width="9.140625" customWidth="1"/>
    <col min="10" max="10" width="12.85546875" customWidth="1"/>
  </cols>
  <sheetData>
    <row r="2" spans="2:13" x14ac:dyDescent="0.25">
      <c r="B2" s="60" t="s">
        <v>1</v>
      </c>
      <c r="C2" s="60"/>
      <c r="D2" s="60"/>
      <c r="E2" s="61"/>
      <c r="F2" s="62"/>
      <c r="G2" s="62"/>
      <c r="H2" s="62"/>
      <c r="I2" s="62"/>
      <c r="J2" s="63"/>
    </row>
    <row r="3" spans="2:13" ht="15" customHeight="1" x14ac:dyDescent="0.25">
      <c r="B3" s="64" t="s">
        <v>0</v>
      </c>
      <c r="C3" s="65"/>
      <c r="D3" s="65"/>
      <c r="E3" s="65"/>
      <c r="F3" s="65"/>
      <c r="G3" s="65"/>
      <c r="H3" s="65"/>
      <c r="I3" s="65"/>
      <c r="J3" s="65"/>
    </row>
    <row r="4" spans="2:13" x14ac:dyDescent="0.25">
      <c r="B4" s="65"/>
      <c r="C4" s="65"/>
      <c r="D4" s="65"/>
      <c r="E4" s="65"/>
      <c r="F4" s="65"/>
      <c r="G4" s="65"/>
      <c r="H4" s="65"/>
      <c r="I4" s="65"/>
      <c r="J4" s="65"/>
    </row>
    <row r="5" spans="2:13" x14ac:dyDescent="0.25">
      <c r="B5" s="65"/>
      <c r="C5" s="65"/>
      <c r="D5" s="65"/>
      <c r="E5" s="65"/>
      <c r="F5" s="65"/>
      <c r="G5" s="65"/>
      <c r="H5" s="65"/>
      <c r="I5" s="65"/>
      <c r="J5" s="65"/>
    </row>
    <row r="6" spans="2:13" x14ac:dyDescent="0.25">
      <c r="B6" s="65"/>
      <c r="C6" s="65"/>
      <c r="D6" s="65"/>
      <c r="E6" s="65"/>
      <c r="F6" s="65"/>
      <c r="G6" s="65"/>
      <c r="H6" s="65"/>
      <c r="I6" s="65"/>
      <c r="J6" s="65"/>
      <c r="M6" s="4"/>
    </row>
    <row r="7" spans="2:13" x14ac:dyDescent="0.25">
      <c r="M7" s="3"/>
    </row>
    <row r="8" spans="2:13" x14ac:dyDescent="0.25">
      <c r="B8" s="66" t="s">
        <v>75</v>
      </c>
      <c r="C8" s="67"/>
      <c r="D8" s="67"/>
      <c r="E8" s="67"/>
      <c r="F8" s="67"/>
      <c r="G8" s="67"/>
      <c r="H8" s="67"/>
      <c r="I8" s="67"/>
      <c r="J8" s="68"/>
      <c r="K8" s="2"/>
    </row>
    <row r="9" spans="2:13" x14ac:dyDescent="0.25">
      <c r="B9" s="69"/>
      <c r="C9" s="70"/>
      <c r="D9" s="70"/>
      <c r="E9" s="70"/>
      <c r="F9" s="70"/>
      <c r="G9" s="70"/>
      <c r="H9" s="70"/>
      <c r="I9" s="70"/>
      <c r="J9" s="71"/>
      <c r="K9" s="2"/>
    </row>
    <row r="11" spans="2:13" x14ac:dyDescent="0.25">
      <c r="B11" s="47" t="s">
        <v>3</v>
      </c>
      <c r="C11" s="48"/>
      <c r="D11" s="48"/>
      <c r="E11" s="49"/>
    </row>
    <row r="12" spans="2:13" x14ac:dyDescent="0.25">
      <c r="B12" s="72" t="s">
        <v>4</v>
      </c>
      <c r="C12" s="72"/>
      <c r="D12" s="72"/>
      <c r="E12" s="72"/>
      <c r="F12" s="72"/>
      <c r="G12" s="72"/>
      <c r="H12" s="72"/>
      <c r="I12" s="72"/>
      <c r="J12" s="72"/>
    </row>
    <row r="13" spans="2:13" x14ac:dyDescent="0.25">
      <c r="B13" s="46" t="s">
        <v>5</v>
      </c>
      <c r="C13" s="46"/>
      <c r="D13" s="46"/>
      <c r="E13" s="46"/>
      <c r="F13" s="46"/>
      <c r="G13" s="46"/>
      <c r="H13" s="46"/>
      <c r="I13" s="46"/>
      <c r="J13" s="46"/>
    </row>
    <row r="14" spans="2:13" x14ac:dyDescent="0.25">
      <c r="B14" s="46" t="s">
        <v>2</v>
      </c>
      <c r="C14" s="46"/>
      <c r="D14" s="46"/>
      <c r="E14" s="46"/>
      <c r="F14" s="46"/>
      <c r="G14" s="46"/>
      <c r="H14" s="46"/>
      <c r="I14" s="46"/>
      <c r="J14" s="46"/>
    </row>
    <row r="15" spans="2:13" x14ac:dyDescent="0.25">
      <c r="B15" s="46" t="s">
        <v>13</v>
      </c>
      <c r="C15" s="46"/>
      <c r="D15" s="46"/>
      <c r="E15" s="46"/>
      <c r="F15" s="46"/>
      <c r="G15" s="46"/>
      <c r="H15" s="46"/>
      <c r="I15" s="46"/>
      <c r="J15" s="46"/>
    </row>
    <row r="19" spans="2:10" x14ac:dyDescent="0.25">
      <c r="B19" s="53"/>
      <c r="C19" s="53"/>
      <c r="D19" s="53" t="s">
        <v>6</v>
      </c>
      <c r="E19" s="53"/>
      <c r="F19" s="53"/>
      <c r="G19" s="53"/>
      <c r="H19" s="53"/>
      <c r="I19" s="53"/>
      <c r="J19" s="53"/>
    </row>
    <row r="20" spans="2:10" ht="4.5" customHeight="1" x14ac:dyDescent="0.25">
      <c r="B20" s="57"/>
      <c r="C20" s="58"/>
      <c r="D20" s="58"/>
      <c r="E20" s="58"/>
      <c r="F20" s="58"/>
      <c r="G20" s="58"/>
      <c r="H20" s="58"/>
      <c r="I20" s="58"/>
      <c r="J20" s="59"/>
    </row>
    <row r="21" spans="2:10" x14ac:dyDescent="0.25">
      <c r="B21" s="51" t="s">
        <v>7</v>
      </c>
      <c r="C21" s="51"/>
      <c r="D21" s="52" t="s">
        <v>8</v>
      </c>
      <c r="E21" s="52"/>
      <c r="F21" s="52"/>
      <c r="G21" s="52"/>
      <c r="H21" s="52"/>
      <c r="I21" s="52"/>
      <c r="J21" s="52"/>
    </row>
    <row r="22" spans="2:10" x14ac:dyDescent="0.25">
      <c r="B22" s="51"/>
      <c r="C22" s="51"/>
      <c r="D22" s="52" t="s">
        <v>9</v>
      </c>
      <c r="E22" s="52"/>
      <c r="F22" s="52"/>
      <c r="G22" s="52"/>
      <c r="H22" s="52"/>
      <c r="I22" s="52"/>
      <c r="J22" s="52"/>
    </row>
    <row r="23" spans="2:10" ht="4.5" customHeight="1" x14ac:dyDescent="0.25">
      <c r="B23" s="50"/>
      <c r="C23" s="50"/>
      <c r="D23" s="50"/>
      <c r="E23" s="50"/>
      <c r="F23" s="50"/>
      <c r="G23" s="50"/>
      <c r="H23" s="50"/>
      <c r="I23" s="50"/>
      <c r="J23" s="50"/>
    </row>
    <row r="24" spans="2:10" x14ac:dyDescent="0.25">
      <c r="B24" s="51" t="s">
        <v>10</v>
      </c>
      <c r="C24" s="51"/>
      <c r="D24" s="54" t="s">
        <v>11</v>
      </c>
      <c r="E24" s="55"/>
      <c r="F24" s="55"/>
      <c r="G24" s="55"/>
      <c r="H24" s="55"/>
      <c r="I24" s="55"/>
      <c r="J24" s="56"/>
    </row>
    <row r="25" spans="2:10" x14ac:dyDescent="0.25">
      <c r="B25" s="51"/>
      <c r="C25" s="51"/>
      <c r="D25" s="54" t="s">
        <v>12</v>
      </c>
      <c r="E25" s="55"/>
      <c r="F25" s="55"/>
      <c r="G25" s="55"/>
      <c r="H25" s="55"/>
      <c r="I25" s="55"/>
      <c r="J25" s="56"/>
    </row>
    <row r="26" spans="2:10" ht="5.25" customHeight="1" x14ac:dyDescent="0.25">
      <c r="B26" s="50"/>
      <c r="C26" s="50"/>
      <c r="D26" s="50"/>
      <c r="E26" s="50"/>
      <c r="F26" s="50"/>
      <c r="G26" s="50"/>
      <c r="H26" s="50"/>
      <c r="I26" s="50"/>
      <c r="J26" s="50"/>
    </row>
  </sheetData>
  <mergeCells count="20">
    <mergeCell ref="B2:D2"/>
    <mergeCell ref="E2:J2"/>
    <mergeCell ref="B3:J6"/>
    <mergeCell ref="B8:J9"/>
    <mergeCell ref="B12:J12"/>
    <mergeCell ref="B13:J13"/>
    <mergeCell ref="B14:J14"/>
    <mergeCell ref="B15:J15"/>
    <mergeCell ref="B11:E11"/>
    <mergeCell ref="B26:J26"/>
    <mergeCell ref="B21:C22"/>
    <mergeCell ref="D21:J21"/>
    <mergeCell ref="D22:J22"/>
    <mergeCell ref="B23:J23"/>
    <mergeCell ref="B24:C25"/>
    <mergeCell ref="D19:J19"/>
    <mergeCell ref="B19:C19"/>
    <mergeCell ref="D24:J24"/>
    <mergeCell ref="D25:J25"/>
    <mergeCell ref="B20:J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topLeftCell="A12" zoomScale="160" zoomScaleNormal="160" workbookViewId="0">
      <selection activeCell="M17" sqref="M17"/>
    </sheetView>
  </sheetViews>
  <sheetFormatPr defaultRowHeight="15" x14ac:dyDescent="0.25"/>
  <cols>
    <col min="1" max="1" width="17" customWidth="1"/>
    <col min="3" max="3" width="10.42578125" customWidth="1"/>
    <col min="4" max="4" width="13.28515625" customWidth="1"/>
    <col min="5" max="5" width="16.85546875" customWidth="1"/>
    <col min="6" max="6" width="9.140625" customWidth="1"/>
    <col min="7" max="7" width="10.5703125" customWidth="1"/>
    <col min="8" max="8" width="10.42578125" customWidth="1"/>
    <col min="9" max="9" width="11.140625" customWidth="1"/>
    <col min="10" max="10" width="10.7109375" customWidth="1"/>
    <col min="11" max="11" width="12.42578125" customWidth="1"/>
    <col min="12" max="12" width="12" customWidth="1"/>
    <col min="13" max="13" width="12.42578125" customWidth="1"/>
    <col min="14" max="14" width="13.7109375" customWidth="1"/>
  </cols>
  <sheetData>
    <row r="1" spans="1:14" ht="15" customHeight="1" x14ac:dyDescent="0.25">
      <c r="A1" s="73" t="s">
        <v>37</v>
      </c>
      <c r="B1" s="74"/>
      <c r="C1" s="86" t="s">
        <v>32</v>
      </c>
      <c r="D1" s="85"/>
      <c r="E1" s="85"/>
    </row>
    <row r="2" spans="1:14" x14ac:dyDescent="0.25">
      <c r="A2" s="75"/>
      <c r="B2" s="74"/>
      <c r="C2" s="87"/>
      <c r="D2" s="85"/>
      <c r="E2" s="85"/>
      <c r="G2" s="76" t="s">
        <v>18</v>
      </c>
      <c r="H2" s="76"/>
      <c r="I2" s="76"/>
      <c r="J2" s="76"/>
      <c r="K2" s="76"/>
      <c r="L2" s="76"/>
      <c r="M2" s="76"/>
      <c r="N2" s="76"/>
    </row>
    <row r="3" spans="1:14" x14ac:dyDescent="0.25">
      <c r="A3" s="6" t="s">
        <v>14</v>
      </c>
      <c r="B3" s="15" t="s">
        <v>15</v>
      </c>
      <c r="C3" s="88"/>
      <c r="D3" s="85"/>
      <c r="E3" s="85"/>
      <c r="G3" s="77" t="s">
        <v>19</v>
      </c>
      <c r="H3" s="77" t="s">
        <v>20</v>
      </c>
      <c r="I3" s="78" t="s">
        <v>23</v>
      </c>
      <c r="J3" s="78" t="s">
        <v>24</v>
      </c>
      <c r="K3" s="78" t="s">
        <v>21</v>
      </c>
      <c r="L3" s="78" t="s">
        <v>22</v>
      </c>
      <c r="M3" s="78" t="s">
        <v>29</v>
      </c>
      <c r="N3" s="80" t="s">
        <v>30</v>
      </c>
    </row>
    <row r="4" spans="1:14" ht="26.25" customHeight="1" x14ac:dyDescent="0.25">
      <c r="A4" s="6" t="s">
        <v>16</v>
      </c>
      <c r="B4" s="15" t="s">
        <v>17</v>
      </c>
      <c r="C4" s="17" t="s">
        <v>33</v>
      </c>
      <c r="D4" s="85"/>
      <c r="E4" s="85"/>
      <c r="G4" s="77"/>
      <c r="H4" s="77"/>
      <c r="I4" s="78"/>
      <c r="J4" s="78"/>
      <c r="K4" s="78"/>
      <c r="L4" s="78"/>
      <c r="M4" s="78"/>
      <c r="N4" s="81"/>
    </row>
    <row r="5" spans="1:14" x14ac:dyDescent="0.25">
      <c r="A5" s="5">
        <v>8</v>
      </c>
      <c r="B5" s="16">
        <v>250</v>
      </c>
      <c r="C5" s="18">
        <f>$F$14*A5+$F$15</f>
        <v>215.85981308411215</v>
      </c>
      <c r="D5" s="85"/>
      <c r="E5" s="85"/>
      <c r="G5" s="92">
        <f>AVERAGE(A5:A8)</f>
        <v>11.25</v>
      </c>
      <c r="H5" s="93">
        <f>AVERAGE(B5:B8)</f>
        <v>568.5</v>
      </c>
      <c r="I5" s="1">
        <f>$G$5-A5</f>
        <v>3.25</v>
      </c>
      <c r="J5" s="9">
        <f>$H$5-B5</f>
        <v>318.5</v>
      </c>
      <c r="K5" s="10">
        <f>I5*J5</f>
        <v>1035.125</v>
      </c>
      <c r="L5" s="94">
        <f>SUM(K5:K8)</f>
        <v>2902.5</v>
      </c>
      <c r="M5" s="11">
        <f>I5*I5</f>
        <v>10.5625</v>
      </c>
      <c r="N5" s="82">
        <f>SUM(M5:M8)</f>
        <v>26.75</v>
      </c>
    </row>
    <row r="6" spans="1:14" x14ac:dyDescent="0.25">
      <c r="A6" s="5">
        <v>10</v>
      </c>
      <c r="B6" s="16">
        <v>400</v>
      </c>
      <c r="C6" s="18">
        <f t="shared" ref="C6:C13" si="0">$F$14*A6+$F$15</f>
        <v>432.86915887850478</v>
      </c>
      <c r="D6" s="85"/>
      <c r="E6" s="85"/>
      <c r="G6" s="92"/>
      <c r="H6" s="92"/>
      <c r="I6" s="44">
        <f t="shared" ref="I6:I8" si="1">$G$5-A6</f>
        <v>1.25</v>
      </c>
      <c r="J6" s="9">
        <f t="shared" ref="J6:J8" si="2">$H$5-B6</f>
        <v>168.5</v>
      </c>
      <c r="K6" s="10">
        <f>I6*J6</f>
        <v>210.625</v>
      </c>
      <c r="L6" s="83"/>
      <c r="M6" s="11">
        <f>I6*I6</f>
        <v>1.5625</v>
      </c>
      <c r="N6" s="83"/>
    </row>
    <row r="7" spans="1:14" x14ac:dyDescent="0.25">
      <c r="A7" s="5">
        <v>12</v>
      </c>
      <c r="B7" s="16">
        <v>625</v>
      </c>
      <c r="C7" s="18">
        <f t="shared" si="0"/>
        <v>649.87850467289718</v>
      </c>
      <c r="D7" s="12"/>
      <c r="E7" s="12"/>
      <c r="G7" s="92"/>
      <c r="H7" s="92"/>
      <c r="I7" s="44">
        <f t="shared" si="1"/>
        <v>-0.75</v>
      </c>
      <c r="J7" s="9">
        <f t="shared" si="2"/>
        <v>-56.5</v>
      </c>
      <c r="K7" s="10">
        <f>I7*J7</f>
        <v>42.375</v>
      </c>
      <c r="L7" s="83"/>
      <c r="M7" s="11">
        <f>I7*I7</f>
        <v>0.5625</v>
      </c>
      <c r="N7" s="83"/>
    </row>
    <row r="8" spans="1:14" x14ac:dyDescent="0.25">
      <c r="A8" s="5">
        <v>15</v>
      </c>
      <c r="B8" s="16">
        <v>999</v>
      </c>
      <c r="C8" s="18">
        <f t="shared" si="0"/>
        <v>975.3925233644859</v>
      </c>
      <c r="D8" s="13"/>
      <c r="E8" s="13"/>
      <c r="G8" s="92"/>
      <c r="H8" s="92"/>
      <c r="I8" s="44">
        <f t="shared" si="1"/>
        <v>-3.75</v>
      </c>
      <c r="J8" s="9">
        <f t="shared" si="2"/>
        <v>-430.5</v>
      </c>
      <c r="K8" s="10">
        <f>I8*J8</f>
        <v>1614.375</v>
      </c>
      <c r="L8" s="84"/>
      <c r="M8" s="11">
        <f>I8*I8</f>
        <v>14.0625</v>
      </c>
      <c r="N8" s="84"/>
    </row>
    <row r="9" spans="1:14" x14ac:dyDescent="0.25">
      <c r="A9" s="5">
        <v>17</v>
      </c>
      <c r="B9" s="16" t="s">
        <v>31</v>
      </c>
      <c r="C9" s="18">
        <f t="shared" si="0"/>
        <v>1192.4018691588785</v>
      </c>
      <c r="D9" s="14"/>
      <c r="E9" s="14"/>
    </row>
    <row r="10" spans="1:14" x14ac:dyDescent="0.25">
      <c r="A10" s="5">
        <v>18</v>
      </c>
      <c r="B10" s="16" t="s">
        <v>31</v>
      </c>
      <c r="C10" s="18">
        <f t="shared" si="0"/>
        <v>1300.9065420560748</v>
      </c>
      <c r="D10" s="12"/>
      <c r="E10" s="12"/>
    </row>
    <row r="11" spans="1:14" x14ac:dyDescent="0.25">
      <c r="A11" s="5">
        <v>20</v>
      </c>
      <c r="B11" s="16" t="s">
        <v>31</v>
      </c>
      <c r="C11" s="18">
        <f t="shared" si="0"/>
        <v>1517.9158878504675</v>
      </c>
      <c r="E11" s="89" t="s">
        <v>27</v>
      </c>
      <c r="F11" s="90"/>
      <c r="G11" s="90"/>
      <c r="H11" s="90"/>
      <c r="I11" s="90"/>
      <c r="J11" s="90"/>
      <c r="K11" s="90"/>
      <c r="L11" s="91"/>
    </row>
    <row r="12" spans="1:14" x14ac:dyDescent="0.25">
      <c r="A12" s="5">
        <v>22</v>
      </c>
      <c r="B12" s="16" t="s">
        <v>31</v>
      </c>
      <c r="C12" s="18">
        <f t="shared" si="0"/>
        <v>1734.9252336448596</v>
      </c>
      <c r="E12" s="79" t="s">
        <v>28</v>
      </c>
      <c r="F12" s="79"/>
      <c r="G12" s="79"/>
      <c r="H12" s="79"/>
      <c r="I12" s="79"/>
      <c r="J12" s="79"/>
      <c r="K12" s="79"/>
      <c r="L12" s="79"/>
    </row>
    <row r="13" spans="1:14" x14ac:dyDescent="0.25">
      <c r="A13" s="5">
        <v>26</v>
      </c>
      <c r="B13" s="16" t="s">
        <v>31</v>
      </c>
      <c r="C13" s="18">
        <f t="shared" si="0"/>
        <v>2168.9439252336451</v>
      </c>
    </row>
    <row r="14" spans="1:14" x14ac:dyDescent="0.25">
      <c r="E14" s="8" t="s">
        <v>25</v>
      </c>
      <c r="F14" s="10">
        <f>L5/N5</f>
        <v>108.50467289719626</v>
      </c>
      <c r="G14" s="7">
        <f>SLOPE('Pizza Price Prediction'!B5:B8,'Pizza Price Prediction'!A5:A8)</f>
        <v>108.50467289719626</v>
      </c>
    </row>
    <row r="15" spans="1:14" x14ac:dyDescent="0.25">
      <c r="E15" s="8" t="s">
        <v>26</v>
      </c>
      <c r="F15" s="10">
        <f>H5-(F14*G5)</f>
        <v>-652.17757009345792</v>
      </c>
      <c r="G15" s="7">
        <f>INTERCEPT('Pizza Price Prediction'!B5:B8,'Pizza Price Prediction'!A5:A8)</f>
        <v>-652.17757009345792</v>
      </c>
    </row>
    <row r="16" spans="1:14" x14ac:dyDescent="0.25">
      <c r="A16" s="5">
        <v>8</v>
      </c>
      <c r="B16" s="16">
        <v>250</v>
      </c>
      <c r="C16" s="18">
        <f>$F$14*A16+$F$15</f>
        <v>215.85981308411215</v>
      </c>
    </row>
    <row r="17" spans="1:3" x14ac:dyDescent="0.25">
      <c r="A17" s="5">
        <v>10</v>
      </c>
      <c r="B17" s="16">
        <v>400</v>
      </c>
      <c r="C17" s="18">
        <f t="shared" ref="C17:C24" si="3">$F$14*A17+$F$15</f>
        <v>432.86915887850478</v>
      </c>
    </row>
    <row r="18" spans="1:3" x14ac:dyDescent="0.25">
      <c r="A18" s="5">
        <v>12</v>
      </c>
      <c r="B18" s="16">
        <v>625</v>
      </c>
      <c r="C18" s="18">
        <f t="shared" si="3"/>
        <v>649.87850467289718</v>
      </c>
    </row>
    <row r="19" spans="1:3" x14ac:dyDescent="0.25">
      <c r="A19" s="5">
        <v>15</v>
      </c>
      <c r="B19" s="16">
        <v>999</v>
      </c>
      <c r="C19" s="18">
        <f t="shared" si="3"/>
        <v>975.3925233644859</v>
      </c>
    </row>
    <row r="20" spans="1:3" x14ac:dyDescent="0.25">
      <c r="A20" s="5">
        <v>17</v>
      </c>
      <c r="B20" s="16">
        <v>1192.4018691588785</v>
      </c>
      <c r="C20" s="18">
        <f t="shared" si="3"/>
        <v>1192.4018691588785</v>
      </c>
    </row>
    <row r="21" spans="1:3" x14ac:dyDescent="0.25">
      <c r="A21" s="5">
        <v>18</v>
      </c>
      <c r="B21" s="16">
        <v>1300.9065420560748</v>
      </c>
      <c r="C21" s="18">
        <f t="shared" si="3"/>
        <v>1300.9065420560748</v>
      </c>
    </row>
    <row r="22" spans="1:3" x14ac:dyDescent="0.25">
      <c r="A22" s="5">
        <v>20</v>
      </c>
      <c r="B22" s="16">
        <v>1517.9158878504675</v>
      </c>
      <c r="C22" s="18">
        <f t="shared" si="3"/>
        <v>1517.9158878504675</v>
      </c>
    </row>
    <row r="23" spans="1:3" x14ac:dyDescent="0.25">
      <c r="A23" s="5">
        <v>22</v>
      </c>
      <c r="B23" s="16">
        <v>1900</v>
      </c>
      <c r="C23" s="18">
        <f t="shared" si="3"/>
        <v>1734.9252336448596</v>
      </c>
    </row>
    <row r="24" spans="1:3" x14ac:dyDescent="0.25">
      <c r="A24" s="5">
        <v>26</v>
      </c>
      <c r="B24" s="16">
        <v>2168.9439252336451</v>
      </c>
      <c r="C24" s="18">
        <f t="shared" si="3"/>
        <v>2168.9439252336451</v>
      </c>
    </row>
  </sheetData>
  <mergeCells count="18">
    <mergeCell ref="E12:L12"/>
    <mergeCell ref="N3:N4"/>
    <mergeCell ref="N5:N8"/>
    <mergeCell ref="D1:E6"/>
    <mergeCell ref="C1:C3"/>
    <mergeCell ref="E11:L11"/>
    <mergeCell ref="G5:G8"/>
    <mergeCell ref="H5:H8"/>
    <mergeCell ref="L5:L8"/>
    <mergeCell ref="M3:M4"/>
    <mergeCell ref="A1:B2"/>
    <mergeCell ref="G2:N2"/>
    <mergeCell ref="G3:G4"/>
    <mergeCell ref="H3:H4"/>
    <mergeCell ref="I3:I4"/>
    <mergeCell ref="J3:J4"/>
    <mergeCell ref="K3:K4"/>
    <mergeCell ref="L3:L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opLeftCell="A7" zoomScale="145" zoomScaleNormal="145" workbookViewId="0">
      <selection activeCell="G16" sqref="G16"/>
    </sheetView>
  </sheetViews>
  <sheetFormatPr defaultRowHeight="15" x14ac:dyDescent="0.25"/>
  <cols>
    <col min="1" max="1" width="17.140625" customWidth="1"/>
    <col min="2" max="3" width="21.7109375" customWidth="1"/>
    <col min="4" max="4" width="17.42578125" customWidth="1"/>
    <col min="5" max="5" width="19" customWidth="1"/>
    <col min="6" max="6" width="11.42578125" customWidth="1"/>
    <col min="7" max="7" width="11.5703125" customWidth="1"/>
    <col min="8" max="8" width="11.42578125" customWidth="1"/>
    <col min="9" max="9" width="11.85546875" customWidth="1"/>
    <col min="10" max="10" width="12.140625" customWidth="1"/>
    <col min="11" max="11" width="10.7109375" customWidth="1"/>
    <col min="12" max="12" width="13.140625" customWidth="1"/>
    <col min="13" max="13" width="17.5703125" customWidth="1"/>
    <col min="14" max="14" width="22.28515625" customWidth="1"/>
    <col min="15" max="15" width="18.85546875" customWidth="1"/>
    <col min="16" max="16" width="16" customWidth="1"/>
    <col min="17" max="17" width="9.85546875" customWidth="1"/>
  </cols>
  <sheetData>
    <row r="1" spans="1:12" x14ac:dyDescent="0.25">
      <c r="A1" s="95"/>
      <c r="B1" s="98"/>
      <c r="C1" s="86" t="s">
        <v>32</v>
      </c>
    </row>
    <row r="2" spans="1:12" x14ac:dyDescent="0.25">
      <c r="A2" s="96"/>
      <c r="B2" s="99"/>
      <c r="C2" s="87"/>
    </row>
    <row r="3" spans="1:12" x14ac:dyDescent="0.25">
      <c r="A3" s="96"/>
      <c r="B3" s="99"/>
      <c r="C3" s="87"/>
      <c r="E3" s="101" t="s">
        <v>18</v>
      </c>
      <c r="F3" s="102"/>
      <c r="G3" s="102"/>
      <c r="H3" s="102"/>
      <c r="I3" s="102"/>
      <c r="J3" s="102"/>
      <c r="K3" s="102"/>
      <c r="L3" s="103"/>
    </row>
    <row r="4" spans="1:12" ht="25.5" customHeight="1" x14ac:dyDescent="0.25">
      <c r="A4" s="96"/>
      <c r="B4" s="99"/>
      <c r="C4" s="87"/>
      <c r="E4" s="77" t="s">
        <v>19</v>
      </c>
      <c r="F4" s="77" t="s">
        <v>20</v>
      </c>
      <c r="G4" s="78" t="s">
        <v>23</v>
      </c>
      <c r="H4" s="78" t="s">
        <v>24</v>
      </c>
      <c r="I4" s="78" t="s">
        <v>21</v>
      </c>
      <c r="J4" s="78" t="s">
        <v>22</v>
      </c>
      <c r="K4" s="78" t="s">
        <v>29</v>
      </c>
      <c r="L4" s="80" t="s">
        <v>30</v>
      </c>
    </row>
    <row r="5" spans="1:12" x14ac:dyDescent="0.25">
      <c r="A5" s="96"/>
      <c r="B5" s="99"/>
      <c r="C5" s="87"/>
      <c r="E5" s="77"/>
      <c r="F5" s="77"/>
      <c r="G5" s="78"/>
      <c r="H5" s="78"/>
      <c r="I5" s="78"/>
      <c r="J5" s="78"/>
      <c r="K5" s="78"/>
      <c r="L5" s="81"/>
    </row>
    <row r="6" spans="1:12" x14ac:dyDescent="0.25">
      <c r="A6" s="96"/>
      <c r="B6" s="99"/>
      <c r="C6" s="87"/>
      <c r="E6" s="92">
        <f>AVERAGE(A12:A15)</f>
        <v>32.5</v>
      </c>
      <c r="F6" s="93">
        <f>AVERAGE(B12:B15)</f>
        <v>80</v>
      </c>
      <c r="G6" s="1">
        <f>$E$6-A12</f>
        <v>7.5</v>
      </c>
      <c r="H6" s="24">
        <f>$F$6-B12</f>
        <v>30</v>
      </c>
      <c r="I6" s="24">
        <f>G6*H6</f>
        <v>225</v>
      </c>
      <c r="J6" s="94">
        <f>SUM(I6:I9)</f>
        <v>500</v>
      </c>
      <c r="K6" s="11">
        <f>G6*G6</f>
        <v>56.25</v>
      </c>
      <c r="L6" s="82">
        <f>SUM(K6:K9)</f>
        <v>125</v>
      </c>
    </row>
    <row r="7" spans="1:12" x14ac:dyDescent="0.25">
      <c r="A7" s="96"/>
      <c r="B7" s="99"/>
      <c r="C7" s="87"/>
      <c r="E7" s="92"/>
      <c r="F7" s="92"/>
      <c r="G7" s="44">
        <f t="shared" ref="G7:G9" si="0">$E$6-A13</f>
        <v>2.5</v>
      </c>
      <c r="H7" s="24">
        <f t="shared" ref="H7:H9" si="1">$F$6-B13</f>
        <v>10</v>
      </c>
      <c r="I7" s="24">
        <f>G7*H7</f>
        <v>25</v>
      </c>
      <c r="J7" s="83"/>
      <c r="K7" s="45">
        <f>G7*G7</f>
        <v>6.25</v>
      </c>
      <c r="L7" s="83"/>
    </row>
    <row r="8" spans="1:12" x14ac:dyDescent="0.25">
      <c r="A8" s="96"/>
      <c r="B8" s="99"/>
      <c r="C8" s="87"/>
      <c r="E8" s="92"/>
      <c r="F8" s="92"/>
      <c r="G8" s="44">
        <f t="shared" si="0"/>
        <v>-2.5</v>
      </c>
      <c r="H8" s="24">
        <f t="shared" si="1"/>
        <v>-10</v>
      </c>
      <c r="I8" s="24">
        <f>G8*H8</f>
        <v>25</v>
      </c>
      <c r="J8" s="83"/>
      <c r="K8" s="45">
        <f>G8*G8</f>
        <v>6.25</v>
      </c>
      <c r="L8" s="83"/>
    </row>
    <row r="9" spans="1:12" x14ac:dyDescent="0.25">
      <c r="A9" s="97"/>
      <c r="B9" s="100"/>
      <c r="C9" s="87"/>
      <c r="E9" s="92"/>
      <c r="F9" s="92"/>
      <c r="G9" s="44">
        <f t="shared" si="0"/>
        <v>-7.5</v>
      </c>
      <c r="H9" s="24">
        <f t="shared" si="1"/>
        <v>-30</v>
      </c>
      <c r="I9" s="24">
        <f>G9*H9</f>
        <v>225</v>
      </c>
      <c r="J9" s="84"/>
      <c r="K9" s="45">
        <f>G9*G9</f>
        <v>56.25</v>
      </c>
      <c r="L9" s="84"/>
    </row>
    <row r="10" spans="1:12" x14ac:dyDescent="0.25">
      <c r="A10" s="20" t="s">
        <v>14</v>
      </c>
      <c r="B10" s="21" t="s">
        <v>15</v>
      </c>
      <c r="C10" s="88"/>
    </row>
    <row r="11" spans="1:12" ht="25.5" customHeight="1" x14ac:dyDescent="0.25">
      <c r="A11" s="22" t="s">
        <v>34</v>
      </c>
      <c r="B11" s="23" t="s">
        <v>35</v>
      </c>
      <c r="C11" s="19" t="s">
        <v>33</v>
      </c>
    </row>
    <row r="12" spans="1:12" x14ac:dyDescent="0.25">
      <c r="A12" s="5">
        <v>25</v>
      </c>
      <c r="B12" s="25">
        <v>50</v>
      </c>
      <c r="C12" s="18">
        <f>$F$15*A12+$F$16</f>
        <v>50</v>
      </c>
      <c r="E12" s="89" t="s">
        <v>27</v>
      </c>
      <c r="F12" s="90"/>
      <c r="G12" s="90"/>
      <c r="H12" s="90"/>
      <c r="I12" s="90"/>
      <c r="J12" s="90"/>
      <c r="K12" s="90"/>
      <c r="L12" s="91"/>
    </row>
    <row r="13" spans="1:12" x14ac:dyDescent="0.25">
      <c r="A13" s="5">
        <v>30</v>
      </c>
      <c r="B13" s="25">
        <v>70</v>
      </c>
      <c r="C13" s="18">
        <f t="shared" ref="C13:C20" si="2">$F$15*A13+$F$16</f>
        <v>70</v>
      </c>
      <c r="E13" s="79" t="s">
        <v>28</v>
      </c>
      <c r="F13" s="79"/>
      <c r="G13" s="79"/>
      <c r="H13" s="79"/>
      <c r="I13" s="79"/>
      <c r="J13" s="79"/>
      <c r="K13" s="79"/>
      <c r="L13" s="79"/>
    </row>
    <row r="14" spans="1:12" x14ac:dyDescent="0.25">
      <c r="A14" s="5">
        <v>35</v>
      </c>
      <c r="B14" s="25">
        <v>90</v>
      </c>
      <c r="C14" s="18">
        <f t="shared" si="2"/>
        <v>90</v>
      </c>
    </row>
    <row r="15" spans="1:12" x14ac:dyDescent="0.25">
      <c r="A15" s="5">
        <v>40</v>
      </c>
      <c r="B15" s="25">
        <v>110</v>
      </c>
      <c r="C15" s="18">
        <f t="shared" si="2"/>
        <v>110</v>
      </c>
      <c r="E15" s="8" t="s">
        <v>25</v>
      </c>
      <c r="F15" s="24">
        <f>J6/L6</f>
        <v>4</v>
      </c>
      <c r="G15" s="7">
        <f>SLOPE(B12:B15,A12:A15)</f>
        <v>4</v>
      </c>
    </row>
    <row r="16" spans="1:12" x14ac:dyDescent="0.25">
      <c r="A16" s="5">
        <v>42</v>
      </c>
      <c r="B16" s="25" t="s">
        <v>31</v>
      </c>
      <c r="C16" s="18">
        <f t="shared" si="2"/>
        <v>118</v>
      </c>
      <c r="E16" s="8" t="s">
        <v>26</v>
      </c>
      <c r="F16" s="24">
        <f>F6-(F15*E6)</f>
        <v>-50</v>
      </c>
      <c r="G16" s="7">
        <f>INTERCEPT(B12:B15,A12:A15)</f>
        <v>-50</v>
      </c>
    </row>
    <row r="17" spans="1:14" x14ac:dyDescent="0.25">
      <c r="A17" s="5">
        <v>44</v>
      </c>
      <c r="B17" s="25" t="s">
        <v>31</v>
      </c>
      <c r="C17" s="18">
        <f t="shared" si="2"/>
        <v>126</v>
      </c>
    </row>
    <row r="18" spans="1:14" x14ac:dyDescent="0.25">
      <c r="A18" s="5">
        <v>45</v>
      </c>
      <c r="B18" s="25" t="s">
        <v>31</v>
      </c>
      <c r="C18" s="18">
        <f t="shared" si="2"/>
        <v>130</v>
      </c>
    </row>
    <row r="19" spans="1:14" x14ac:dyDescent="0.25">
      <c r="A19" s="5">
        <v>47</v>
      </c>
      <c r="B19" s="25" t="s">
        <v>31</v>
      </c>
      <c r="C19" s="18">
        <f t="shared" si="2"/>
        <v>138</v>
      </c>
      <c r="I19" t="s">
        <v>38</v>
      </c>
    </row>
    <row r="20" spans="1:14" ht="15.75" thickBot="1" x14ac:dyDescent="0.3">
      <c r="A20" s="5">
        <v>50</v>
      </c>
      <c r="B20" s="25" t="s">
        <v>31</v>
      </c>
      <c r="C20" s="18">
        <f t="shared" si="2"/>
        <v>150</v>
      </c>
    </row>
    <row r="21" spans="1:14" x14ac:dyDescent="0.25">
      <c r="I21" s="29" t="s">
        <v>39</v>
      </c>
      <c r="J21" s="29"/>
    </row>
    <row r="22" spans="1:14" x14ac:dyDescent="0.25">
      <c r="I22" s="26" t="s">
        <v>40</v>
      </c>
      <c r="J22" s="26">
        <v>1</v>
      </c>
    </row>
    <row r="23" spans="1:14" x14ac:dyDescent="0.25">
      <c r="I23" s="26" t="s">
        <v>41</v>
      </c>
      <c r="J23" s="26">
        <v>1</v>
      </c>
    </row>
    <row r="24" spans="1:14" x14ac:dyDescent="0.25">
      <c r="I24" s="26" t="s">
        <v>42</v>
      </c>
      <c r="J24" s="26">
        <v>1</v>
      </c>
    </row>
    <row r="25" spans="1:14" x14ac:dyDescent="0.25">
      <c r="B25" s="113">
        <v>25</v>
      </c>
      <c r="C25" s="113"/>
      <c r="D25" s="113">
        <v>50</v>
      </c>
      <c r="E25" s="113"/>
      <c r="I25" s="26" t="s">
        <v>43</v>
      </c>
      <c r="J25" s="26">
        <v>0</v>
      </c>
    </row>
    <row r="26" spans="1:14" ht="15.75" thickBot="1" x14ac:dyDescent="0.3">
      <c r="B26" s="114"/>
      <c r="C26" s="114"/>
      <c r="D26" s="114"/>
      <c r="E26" s="114"/>
      <c r="I26" s="27" t="s">
        <v>44</v>
      </c>
      <c r="J26" s="27">
        <v>3</v>
      </c>
    </row>
    <row r="27" spans="1:14" x14ac:dyDescent="0.25">
      <c r="B27" s="114" t="s">
        <v>63</v>
      </c>
      <c r="C27" s="114">
        <v>35</v>
      </c>
      <c r="D27" s="114" t="s">
        <v>63</v>
      </c>
      <c r="E27" s="114">
        <v>90</v>
      </c>
    </row>
    <row r="28" spans="1:14" ht="15.75" thickBot="1" x14ac:dyDescent="0.3">
      <c r="B28" s="114" t="s">
        <v>43</v>
      </c>
      <c r="C28" s="114">
        <v>2.8867513459481291</v>
      </c>
      <c r="D28" s="114" t="s">
        <v>43</v>
      </c>
      <c r="E28" s="114">
        <v>11.547005383792516</v>
      </c>
      <c r="I28" t="s">
        <v>45</v>
      </c>
    </row>
    <row r="29" spans="1:14" x14ac:dyDescent="0.25">
      <c r="B29" s="114" t="s">
        <v>64</v>
      </c>
      <c r="C29" s="114">
        <v>35</v>
      </c>
      <c r="D29" s="114" t="s">
        <v>64</v>
      </c>
      <c r="E29" s="114">
        <v>90</v>
      </c>
      <c r="I29" s="28"/>
      <c r="J29" s="28" t="s">
        <v>50</v>
      </c>
      <c r="K29" s="28" t="s">
        <v>51</v>
      </c>
      <c r="L29" s="28" t="s">
        <v>52</v>
      </c>
      <c r="M29" s="28" t="s">
        <v>53</v>
      </c>
      <c r="N29" s="28" t="s">
        <v>54</v>
      </c>
    </row>
    <row r="30" spans="1:14" x14ac:dyDescent="0.25">
      <c r="B30" s="114" t="s">
        <v>65</v>
      </c>
      <c r="C30" s="114" t="e">
        <v>#N/A</v>
      </c>
      <c r="D30" s="114" t="s">
        <v>65</v>
      </c>
      <c r="E30" s="114" t="e">
        <v>#N/A</v>
      </c>
      <c r="I30" s="26" t="s">
        <v>46</v>
      </c>
      <c r="J30" s="26">
        <v>1</v>
      </c>
      <c r="K30" s="26">
        <v>800</v>
      </c>
      <c r="L30" s="26">
        <v>800</v>
      </c>
      <c r="M30" s="26" t="e">
        <v>#NUM!</v>
      </c>
      <c r="N30" s="26" t="e">
        <v>#NUM!</v>
      </c>
    </row>
    <row r="31" spans="1:14" x14ac:dyDescent="0.25">
      <c r="B31" s="114" t="s">
        <v>66</v>
      </c>
      <c r="C31" s="114">
        <v>5</v>
      </c>
      <c r="D31" s="114" t="s">
        <v>66</v>
      </c>
      <c r="E31" s="114">
        <v>20</v>
      </c>
      <c r="I31" s="26" t="s">
        <v>47</v>
      </c>
      <c r="J31" s="26">
        <v>1</v>
      </c>
      <c r="K31" s="26">
        <v>0</v>
      </c>
      <c r="L31" s="26">
        <v>0</v>
      </c>
      <c r="M31" s="26"/>
      <c r="N31" s="26"/>
    </row>
    <row r="32" spans="1:14" ht="15.75" thickBot="1" x14ac:dyDescent="0.3">
      <c r="B32" s="114" t="s">
        <v>67</v>
      </c>
      <c r="C32" s="114">
        <v>25</v>
      </c>
      <c r="D32" s="114" t="s">
        <v>67</v>
      </c>
      <c r="E32" s="114">
        <v>400</v>
      </c>
      <c r="I32" s="27" t="s">
        <v>48</v>
      </c>
      <c r="J32" s="27">
        <v>2</v>
      </c>
      <c r="K32" s="27">
        <v>800</v>
      </c>
      <c r="L32" s="27"/>
      <c r="M32" s="27"/>
      <c r="N32" s="27"/>
    </row>
    <row r="33" spans="2:17" ht="15.75" thickBot="1" x14ac:dyDescent="0.3">
      <c r="B33" s="114" t="s">
        <v>68</v>
      </c>
      <c r="C33" s="114" t="e">
        <v>#DIV/0!</v>
      </c>
      <c r="D33" s="114" t="s">
        <v>68</v>
      </c>
      <c r="E33" s="114" t="e">
        <v>#DIV/0!</v>
      </c>
    </row>
    <row r="34" spans="2:17" x14ac:dyDescent="0.25">
      <c r="B34" s="114" t="s">
        <v>69</v>
      </c>
      <c r="C34" s="114">
        <v>0</v>
      </c>
      <c r="D34" s="114" t="s">
        <v>69</v>
      </c>
      <c r="E34" s="114">
        <v>0</v>
      </c>
      <c r="I34" s="110"/>
      <c r="J34" s="110" t="s">
        <v>55</v>
      </c>
      <c r="K34" s="28" t="s">
        <v>43</v>
      </c>
      <c r="L34" s="28" t="s">
        <v>56</v>
      </c>
      <c r="M34" s="28" t="s">
        <v>57</v>
      </c>
      <c r="N34" s="28" t="s">
        <v>58</v>
      </c>
      <c r="O34" s="28" t="s">
        <v>59</v>
      </c>
      <c r="P34" s="28" t="s">
        <v>60</v>
      </c>
      <c r="Q34" s="28" t="s">
        <v>61</v>
      </c>
    </row>
    <row r="35" spans="2:17" x14ac:dyDescent="0.25">
      <c r="B35" s="114" t="s">
        <v>70</v>
      </c>
      <c r="C35" s="114">
        <v>10</v>
      </c>
      <c r="D35" s="114" t="s">
        <v>70</v>
      </c>
      <c r="E35" s="114">
        <v>40</v>
      </c>
      <c r="I35" s="111" t="s">
        <v>49</v>
      </c>
      <c r="J35" s="111">
        <v>-50.000000000000028</v>
      </c>
      <c r="K35" s="26">
        <v>0</v>
      </c>
      <c r="L35" s="26">
        <v>65535</v>
      </c>
      <c r="M35" s="26" t="e">
        <v>#NUM!</v>
      </c>
      <c r="N35" s="26">
        <v>-50.000000000000028</v>
      </c>
      <c r="O35" s="26">
        <v>-50.000000000000028</v>
      </c>
      <c r="P35" s="26">
        <v>-50.000000000000028</v>
      </c>
      <c r="Q35" s="26">
        <v>-50.000000000000028</v>
      </c>
    </row>
    <row r="36" spans="2:17" ht="15.75" thickBot="1" x14ac:dyDescent="0.3">
      <c r="B36" s="114" t="s">
        <v>71</v>
      </c>
      <c r="C36" s="114">
        <v>30</v>
      </c>
      <c r="D36" s="114" t="s">
        <v>71</v>
      </c>
      <c r="E36" s="114">
        <v>70</v>
      </c>
      <c r="I36" s="112">
        <v>25</v>
      </c>
      <c r="J36" s="112">
        <v>4.0000000000000009</v>
      </c>
      <c r="K36" s="27">
        <v>0</v>
      </c>
      <c r="L36" s="27">
        <v>65535</v>
      </c>
      <c r="M36" s="27" t="e">
        <v>#NUM!</v>
      </c>
      <c r="N36" s="27">
        <v>4.0000000000000009</v>
      </c>
      <c r="O36" s="27">
        <v>4.0000000000000009</v>
      </c>
      <c r="P36" s="27">
        <v>4.0000000000000009</v>
      </c>
      <c r="Q36" s="27">
        <v>4.0000000000000009</v>
      </c>
    </row>
    <row r="37" spans="2:17" x14ac:dyDescent="0.25">
      <c r="B37" s="114" t="s">
        <v>72</v>
      </c>
      <c r="C37" s="114">
        <v>40</v>
      </c>
      <c r="D37" s="114" t="s">
        <v>72</v>
      </c>
      <c r="E37" s="114">
        <v>110</v>
      </c>
    </row>
    <row r="38" spans="2:17" x14ac:dyDescent="0.25">
      <c r="B38" s="114" t="s">
        <v>73</v>
      </c>
      <c r="C38" s="114">
        <v>105</v>
      </c>
      <c r="D38" s="114" t="s">
        <v>73</v>
      </c>
      <c r="E38" s="114">
        <v>270</v>
      </c>
    </row>
    <row r="39" spans="2:17" x14ac:dyDescent="0.25">
      <c r="B39" s="114" t="s">
        <v>74</v>
      </c>
      <c r="C39" s="114">
        <v>3</v>
      </c>
      <c r="D39" s="114" t="s">
        <v>74</v>
      </c>
      <c r="E39" s="114">
        <v>3</v>
      </c>
    </row>
  </sheetData>
  <mergeCells count="18">
    <mergeCell ref="E12:L12"/>
    <mergeCell ref="E13:L13"/>
    <mergeCell ref="E4:E5"/>
    <mergeCell ref="F4:F5"/>
    <mergeCell ref="G4:G5"/>
    <mergeCell ref="H4:H5"/>
    <mergeCell ref="I4:I5"/>
    <mergeCell ref="J4:J5"/>
    <mergeCell ref="K4:K5"/>
    <mergeCell ref="L4:L5"/>
    <mergeCell ref="E6:E9"/>
    <mergeCell ref="F6:F9"/>
    <mergeCell ref="J6:J9"/>
    <mergeCell ref="C1:C10"/>
    <mergeCell ref="A1:A9"/>
    <mergeCell ref="B1:B9"/>
    <mergeCell ref="L6:L9"/>
    <mergeCell ref="E3:L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zoomScale="130" zoomScaleNormal="130" workbookViewId="0">
      <selection activeCell="G21" sqref="G21"/>
    </sheetView>
  </sheetViews>
  <sheetFormatPr defaultRowHeight="15" x14ac:dyDescent="0.25"/>
  <cols>
    <col min="1" max="1" width="17.140625" customWidth="1"/>
    <col min="2" max="2" width="16.140625" customWidth="1"/>
    <col min="3" max="3" width="19.5703125" customWidth="1"/>
    <col min="5" max="5" width="17.28515625" customWidth="1"/>
    <col min="6" max="6" width="12.85546875" customWidth="1"/>
    <col min="7" max="7" width="22.42578125" customWidth="1"/>
    <col min="8" max="8" width="16" customWidth="1"/>
    <col min="9" max="9" width="20.7109375" customWidth="1"/>
    <col min="10" max="10" width="22" customWidth="1"/>
    <col min="11" max="11" width="20.28515625" customWidth="1"/>
    <col min="12" max="12" width="17.7109375" customWidth="1"/>
  </cols>
  <sheetData>
    <row r="1" spans="1:12" x14ac:dyDescent="0.25">
      <c r="A1" s="104"/>
      <c r="B1" s="105"/>
      <c r="C1" s="86" t="s">
        <v>32</v>
      </c>
    </row>
    <row r="2" spans="1:12" x14ac:dyDescent="0.25">
      <c r="A2" s="106"/>
      <c r="B2" s="107"/>
      <c r="C2" s="87"/>
    </row>
    <row r="3" spans="1:12" x14ac:dyDescent="0.25">
      <c r="A3" s="106"/>
      <c r="B3" s="107"/>
      <c r="C3" s="87"/>
      <c r="E3" s="101" t="s">
        <v>18</v>
      </c>
      <c r="F3" s="102"/>
      <c r="G3" s="102"/>
      <c r="H3" s="102"/>
      <c r="I3" s="102"/>
      <c r="J3" s="102"/>
      <c r="K3" s="102"/>
      <c r="L3" s="103"/>
    </row>
    <row r="4" spans="1:12" ht="25.5" customHeight="1" x14ac:dyDescent="0.25">
      <c r="A4" s="106"/>
      <c r="B4" s="107"/>
      <c r="C4" s="87"/>
      <c r="E4" s="77" t="s">
        <v>19</v>
      </c>
      <c r="F4" s="77" t="s">
        <v>20</v>
      </c>
      <c r="G4" s="78" t="s">
        <v>23</v>
      </c>
      <c r="H4" s="78" t="s">
        <v>24</v>
      </c>
      <c r="I4" s="78" t="s">
        <v>21</v>
      </c>
      <c r="J4" s="78" t="s">
        <v>22</v>
      </c>
      <c r="K4" s="78" t="s">
        <v>29</v>
      </c>
      <c r="L4" s="80" t="s">
        <v>30</v>
      </c>
    </row>
    <row r="5" spans="1:12" x14ac:dyDescent="0.25">
      <c r="A5" s="106"/>
      <c r="B5" s="107"/>
      <c r="C5" s="87"/>
      <c r="E5" s="77"/>
      <c r="F5" s="77"/>
      <c r="G5" s="78"/>
      <c r="H5" s="78"/>
      <c r="I5" s="78"/>
      <c r="J5" s="78"/>
      <c r="K5" s="78"/>
      <c r="L5" s="81"/>
    </row>
    <row r="6" spans="1:12" x14ac:dyDescent="0.25">
      <c r="A6" s="106"/>
      <c r="B6" s="107"/>
      <c r="C6" s="87"/>
      <c r="E6" s="92">
        <f>AVERAGE(A12:A15)</f>
        <v>1750</v>
      </c>
      <c r="F6" s="93">
        <f>AVERAGE(B12:B15)</f>
        <v>2750000</v>
      </c>
      <c r="G6" s="1">
        <f>A12-$E$6</f>
        <v>-750</v>
      </c>
      <c r="H6" s="24">
        <f>B12-$F$6</f>
        <v>-750000</v>
      </c>
      <c r="I6" s="24">
        <f>G6*H6</f>
        <v>562500000</v>
      </c>
      <c r="J6" s="94">
        <f>SUM(I6:I9)</f>
        <v>1250000000</v>
      </c>
      <c r="K6" s="11">
        <f>G6*G6</f>
        <v>562500</v>
      </c>
      <c r="L6" s="82">
        <f>SUM(K6:K9)</f>
        <v>1250000</v>
      </c>
    </row>
    <row r="7" spans="1:12" x14ac:dyDescent="0.25">
      <c r="A7" s="106"/>
      <c r="B7" s="107"/>
      <c r="C7" s="87"/>
      <c r="E7" s="92"/>
      <c r="F7" s="92"/>
      <c r="G7" s="1">
        <f t="shared" ref="G7:G9" si="0">A13-$E$6</f>
        <v>-250</v>
      </c>
      <c r="H7" s="24">
        <f t="shared" ref="H7:H9" si="1">B13-$F$6</f>
        <v>-250000</v>
      </c>
      <c r="I7" s="24">
        <f t="shared" ref="I7:I9" si="2">G7*H7</f>
        <v>62500000</v>
      </c>
      <c r="J7" s="83"/>
      <c r="K7" s="11">
        <f t="shared" ref="K7:K9" si="3">G7*G7</f>
        <v>62500</v>
      </c>
      <c r="L7" s="83"/>
    </row>
    <row r="8" spans="1:12" x14ac:dyDescent="0.25">
      <c r="A8" s="106"/>
      <c r="B8" s="107"/>
      <c r="C8" s="87"/>
      <c r="E8" s="92"/>
      <c r="F8" s="92"/>
      <c r="G8" s="1">
        <f t="shared" si="0"/>
        <v>250</v>
      </c>
      <c r="H8" s="24">
        <f t="shared" si="1"/>
        <v>250000</v>
      </c>
      <c r="I8" s="24">
        <f t="shared" si="2"/>
        <v>62500000</v>
      </c>
      <c r="J8" s="83"/>
      <c r="K8" s="11">
        <f t="shared" si="3"/>
        <v>62500</v>
      </c>
      <c r="L8" s="83"/>
    </row>
    <row r="9" spans="1:12" x14ac:dyDescent="0.25">
      <c r="A9" s="108"/>
      <c r="B9" s="109"/>
      <c r="C9" s="87"/>
      <c r="E9" s="92"/>
      <c r="F9" s="92"/>
      <c r="G9" s="1">
        <f t="shared" si="0"/>
        <v>750</v>
      </c>
      <c r="H9" s="24">
        <f t="shared" si="1"/>
        <v>750000</v>
      </c>
      <c r="I9" s="24">
        <f t="shared" si="2"/>
        <v>562500000</v>
      </c>
      <c r="J9" s="84"/>
      <c r="K9" s="11">
        <f t="shared" si="3"/>
        <v>562500</v>
      </c>
      <c r="L9" s="84"/>
    </row>
    <row r="10" spans="1:12" x14ac:dyDescent="0.25">
      <c r="A10" s="20" t="s">
        <v>14</v>
      </c>
      <c r="B10" s="21" t="s">
        <v>15</v>
      </c>
      <c r="C10" s="88"/>
    </row>
    <row r="11" spans="1:12" ht="25.5" customHeight="1" x14ac:dyDescent="0.25">
      <c r="A11" s="22" t="s">
        <v>36</v>
      </c>
      <c r="B11" s="23" t="s">
        <v>17</v>
      </c>
      <c r="C11" s="19" t="s">
        <v>33</v>
      </c>
    </row>
    <row r="12" spans="1:12" x14ac:dyDescent="0.25">
      <c r="A12" s="5">
        <v>1000</v>
      </c>
      <c r="B12" s="16">
        <v>2000000</v>
      </c>
      <c r="C12" s="18">
        <f>$F$15*A12+$F$16</f>
        <v>2000000</v>
      </c>
      <c r="E12" s="89" t="s">
        <v>27</v>
      </c>
      <c r="F12" s="90"/>
      <c r="G12" s="90"/>
      <c r="H12" s="90"/>
      <c r="I12" s="90"/>
      <c r="J12" s="90"/>
      <c r="K12" s="90"/>
      <c r="L12" s="91"/>
    </row>
    <row r="13" spans="1:12" x14ac:dyDescent="0.25">
      <c r="A13" s="5">
        <v>1500</v>
      </c>
      <c r="B13" s="16">
        <v>2500000</v>
      </c>
      <c r="C13" s="18">
        <f t="shared" ref="C13:C20" si="4">$F$15*A13+$F$16</f>
        <v>2500000</v>
      </c>
      <c r="E13" s="79" t="s">
        <v>28</v>
      </c>
      <c r="F13" s="79"/>
      <c r="G13" s="79"/>
      <c r="H13" s="79"/>
      <c r="I13" s="79"/>
      <c r="J13" s="79"/>
      <c r="K13" s="79"/>
      <c r="L13" s="79"/>
    </row>
    <row r="14" spans="1:12" x14ac:dyDescent="0.25">
      <c r="A14" s="5">
        <v>2000</v>
      </c>
      <c r="B14" s="16">
        <v>3000000</v>
      </c>
      <c r="C14" s="18">
        <f t="shared" si="4"/>
        <v>3000000</v>
      </c>
    </row>
    <row r="15" spans="1:12" x14ac:dyDescent="0.25">
      <c r="A15" s="5">
        <v>2500</v>
      </c>
      <c r="B15" s="16">
        <v>3500000</v>
      </c>
      <c r="C15" s="18">
        <f t="shared" si="4"/>
        <v>3500000</v>
      </c>
      <c r="E15" s="8" t="s">
        <v>25</v>
      </c>
      <c r="F15" s="24">
        <f>J6/L6</f>
        <v>1000</v>
      </c>
      <c r="G15" s="7">
        <f>SLOPE(B12:B15,A12:A15)</f>
        <v>1000</v>
      </c>
    </row>
    <row r="16" spans="1:12" x14ac:dyDescent="0.25">
      <c r="A16" s="5">
        <v>2800</v>
      </c>
      <c r="B16" s="16"/>
      <c r="C16" s="18">
        <f t="shared" si="4"/>
        <v>3800000</v>
      </c>
      <c r="E16" s="8" t="s">
        <v>26</v>
      </c>
      <c r="F16" s="24">
        <f>F6-(F15*E6)</f>
        <v>1000000</v>
      </c>
      <c r="G16" s="7">
        <f>INTERCEPT(B12:B15,A12:A15)</f>
        <v>1000000</v>
      </c>
    </row>
    <row r="17" spans="1:15" x14ac:dyDescent="0.25">
      <c r="A17" s="5">
        <v>3000</v>
      </c>
      <c r="B17" s="16"/>
      <c r="C17" s="18">
        <f t="shared" si="4"/>
        <v>4000000</v>
      </c>
    </row>
    <row r="18" spans="1:15" x14ac:dyDescent="0.25">
      <c r="A18" s="5">
        <v>3250</v>
      </c>
      <c r="B18" s="16"/>
      <c r="C18" s="18">
        <f t="shared" si="4"/>
        <v>4250000</v>
      </c>
    </row>
    <row r="19" spans="1:15" x14ac:dyDescent="0.25">
      <c r="A19" s="5">
        <v>3500</v>
      </c>
      <c r="B19" s="16"/>
      <c r="C19" s="18">
        <f t="shared" si="4"/>
        <v>4500000</v>
      </c>
    </row>
    <row r="20" spans="1:15" x14ac:dyDescent="0.25">
      <c r="A20" s="5">
        <v>4000</v>
      </c>
      <c r="B20" s="16"/>
      <c r="C20" s="18">
        <f t="shared" si="4"/>
        <v>5000000</v>
      </c>
    </row>
    <row r="21" spans="1:15" x14ac:dyDescent="0.25">
      <c r="J21" t="s">
        <v>38</v>
      </c>
    </row>
    <row r="22" spans="1:15" ht="15.75" thickBot="1" x14ac:dyDescent="0.3"/>
    <row r="23" spans="1:15" x14ac:dyDescent="0.25">
      <c r="J23" s="29" t="s">
        <v>39</v>
      </c>
      <c r="K23" s="29"/>
    </row>
    <row r="24" spans="1:15" x14ac:dyDescent="0.25">
      <c r="J24" s="26" t="s">
        <v>40</v>
      </c>
      <c r="K24" s="26">
        <v>1</v>
      </c>
    </row>
    <row r="25" spans="1:15" x14ac:dyDescent="0.25">
      <c r="J25" s="26" t="s">
        <v>41</v>
      </c>
      <c r="K25" s="26">
        <v>1</v>
      </c>
    </row>
    <row r="26" spans="1:15" x14ac:dyDescent="0.25">
      <c r="J26" s="26" t="s">
        <v>42</v>
      </c>
      <c r="K26" s="26">
        <v>1</v>
      </c>
    </row>
    <row r="27" spans="1:15" x14ac:dyDescent="0.25">
      <c r="J27" s="26" t="s">
        <v>43</v>
      </c>
      <c r="K27" s="26">
        <v>0</v>
      </c>
    </row>
    <row r="28" spans="1:15" ht="15.75" thickBot="1" x14ac:dyDescent="0.3">
      <c r="J28" s="27" t="s">
        <v>44</v>
      </c>
      <c r="K28" s="27">
        <v>4</v>
      </c>
    </row>
    <row r="30" spans="1:15" ht="15.75" thickBot="1" x14ac:dyDescent="0.3">
      <c r="J30" t="s">
        <v>45</v>
      </c>
    </row>
    <row r="31" spans="1:15" x14ac:dyDescent="0.25">
      <c r="J31" s="28"/>
      <c r="K31" s="28" t="s">
        <v>50</v>
      </c>
      <c r="L31" s="28" t="s">
        <v>51</v>
      </c>
      <c r="M31" s="28" t="s">
        <v>52</v>
      </c>
      <c r="N31" s="28" t="s">
        <v>53</v>
      </c>
      <c r="O31" s="28" t="s">
        <v>54</v>
      </c>
    </row>
    <row r="32" spans="1:15" x14ac:dyDescent="0.25">
      <c r="J32" s="26" t="s">
        <v>46</v>
      </c>
      <c r="K32" s="26">
        <v>1</v>
      </c>
      <c r="L32" s="26">
        <v>1250000000000</v>
      </c>
      <c r="M32" s="26">
        <v>1250000000000</v>
      </c>
      <c r="N32" s="26" t="e">
        <v>#NUM!</v>
      </c>
      <c r="O32" s="26" t="e">
        <v>#NUM!</v>
      </c>
    </row>
    <row r="33" spans="1:18" x14ac:dyDescent="0.25">
      <c r="J33" s="26" t="s">
        <v>47</v>
      </c>
      <c r="K33" s="26">
        <v>2</v>
      </c>
      <c r="L33" s="26">
        <v>0</v>
      </c>
      <c r="M33" s="26">
        <v>0</v>
      </c>
      <c r="N33" s="26"/>
      <c r="O33" s="26"/>
    </row>
    <row r="34" spans="1:18" ht="15.75" thickBot="1" x14ac:dyDescent="0.3">
      <c r="J34" s="27" t="s">
        <v>48</v>
      </c>
      <c r="K34" s="27">
        <v>3</v>
      </c>
      <c r="L34" s="27">
        <v>1250000000000</v>
      </c>
      <c r="M34" s="27"/>
      <c r="N34" s="27"/>
      <c r="O34" s="27"/>
    </row>
    <row r="35" spans="1:18" ht="15.75" thickBot="1" x14ac:dyDescent="0.3">
      <c r="A35" s="22" t="s">
        <v>36</v>
      </c>
      <c r="B35" s="23" t="s">
        <v>17</v>
      </c>
      <c r="C35" s="19" t="s">
        <v>33</v>
      </c>
    </row>
    <row r="36" spans="1:18" x14ac:dyDescent="0.25">
      <c r="A36" s="5">
        <v>1000</v>
      </c>
      <c r="B36" s="30">
        <v>2000000</v>
      </c>
      <c r="C36" s="18">
        <f>$F$15*A36+$F$16</f>
        <v>2000000</v>
      </c>
      <c r="J36" s="28"/>
      <c r="K36" s="28" t="s">
        <v>55</v>
      </c>
      <c r="L36" s="28" t="s">
        <v>43</v>
      </c>
      <c r="M36" s="28" t="s">
        <v>56</v>
      </c>
      <c r="N36" s="28" t="s">
        <v>57</v>
      </c>
      <c r="O36" s="28" t="s">
        <v>58</v>
      </c>
      <c r="P36" s="28" t="s">
        <v>59</v>
      </c>
      <c r="Q36" s="28" t="s">
        <v>60</v>
      </c>
      <c r="R36" s="28" t="s">
        <v>61</v>
      </c>
    </row>
    <row r="37" spans="1:18" x14ac:dyDescent="0.25">
      <c r="A37" s="5">
        <v>1500</v>
      </c>
      <c r="B37" s="30">
        <v>2500000</v>
      </c>
      <c r="C37" s="18">
        <f t="shared" ref="C37:C44" si="5">$F$15*A37+$F$16</f>
        <v>2500000</v>
      </c>
      <c r="J37" s="32" t="s">
        <v>49</v>
      </c>
      <c r="K37" s="32">
        <v>1000000.0000000002</v>
      </c>
      <c r="L37" s="26">
        <v>0</v>
      </c>
      <c r="M37" s="26">
        <v>65535</v>
      </c>
      <c r="N37" s="26" t="e">
        <v>#NUM!</v>
      </c>
      <c r="O37" s="26">
        <v>1000000.0000000002</v>
      </c>
      <c r="P37" s="26">
        <v>1000000.0000000002</v>
      </c>
      <c r="Q37" s="26">
        <v>1000000.0000000002</v>
      </c>
      <c r="R37" s="26">
        <v>1000000.0000000002</v>
      </c>
    </row>
    <row r="38" spans="1:18" ht="15.75" thickBot="1" x14ac:dyDescent="0.3">
      <c r="A38" s="5">
        <v>2000</v>
      </c>
      <c r="B38" s="30">
        <v>3000000</v>
      </c>
      <c r="C38" s="18">
        <f t="shared" si="5"/>
        <v>3000000</v>
      </c>
      <c r="J38" s="33" t="s">
        <v>62</v>
      </c>
      <c r="K38" s="33">
        <v>999.99999999999989</v>
      </c>
      <c r="L38" s="27">
        <v>0</v>
      </c>
      <c r="M38" s="27">
        <v>65535</v>
      </c>
      <c r="N38" s="27" t="e">
        <v>#NUM!</v>
      </c>
      <c r="O38" s="27">
        <v>999.99999999999989</v>
      </c>
      <c r="P38" s="27">
        <v>999.99999999999989</v>
      </c>
      <c r="Q38" s="27">
        <v>999.99999999999989</v>
      </c>
      <c r="R38" s="27">
        <v>999.99999999999989</v>
      </c>
    </row>
    <row r="39" spans="1:18" x14ac:dyDescent="0.25">
      <c r="A39" s="5">
        <v>2500</v>
      </c>
      <c r="B39" s="30">
        <v>3500000</v>
      </c>
      <c r="C39" s="18">
        <f t="shared" si="5"/>
        <v>3500000</v>
      </c>
    </row>
    <row r="40" spans="1:18" x14ac:dyDescent="0.25">
      <c r="A40" s="5">
        <v>2800</v>
      </c>
      <c r="B40" s="31">
        <v>3800000</v>
      </c>
      <c r="C40" s="18">
        <f t="shared" si="5"/>
        <v>3800000</v>
      </c>
    </row>
    <row r="41" spans="1:18" x14ac:dyDescent="0.25">
      <c r="A41" s="5">
        <v>3000</v>
      </c>
      <c r="B41" s="31">
        <v>4000000</v>
      </c>
      <c r="C41" s="18">
        <f t="shared" si="5"/>
        <v>4000000</v>
      </c>
    </row>
    <row r="42" spans="1:18" ht="15.75" thickBot="1" x14ac:dyDescent="0.3">
      <c r="A42" s="5">
        <v>3250</v>
      </c>
      <c r="B42" s="31">
        <v>4250000</v>
      </c>
      <c r="C42" s="18">
        <f t="shared" si="5"/>
        <v>4250000</v>
      </c>
    </row>
    <row r="43" spans="1:18" x14ac:dyDescent="0.25">
      <c r="A43" s="5">
        <v>3500</v>
      </c>
      <c r="B43" s="31">
        <v>4500000</v>
      </c>
      <c r="C43" s="18">
        <f t="shared" si="5"/>
        <v>4500000</v>
      </c>
      <c r="G43" s="34" t="s">
        <v>36</v>
      </c>
      <c r="H43" s="35"/>
      <c r="I43" s="34" t="s">
        <v>17</v>
      </c>
      <c r="J43" s="35"/>
      <c r="K43" s="34" t="s">
        <v>33</v>
      </c>
      <c r="L43" s="35"/>
    </row>
    <row r="44" spans="1:18" x14ac:dyDescent="0.25">
      <c r="A44" s="5">
        <v>4000</v>
      </c>
      <c r="B44" s="31">
        <v>5000000</v>
      </c>
      <c r="C44" s="18">
        <f t="shared" si="5"/>
        <v>5000000</v>
      </c>
      <c r="G44" s="36"/>
      <c r="H44" s="37"/>
      <c r="I44" s="36"/>
      <c r="J44" s="37"/>
      <c r="K44" s="36"/>
      <c r="L44" s="37"/>
    </row>
    <row r="45" spans="1:18" x14ac:dyDescent="0.25">
      <c r="G45" s="38" t="s">
        <v>63</v>
      </c>
      <c r="H45" s="39">
        <v>1750</v>
      </c>
      <c r="I45" s="42" t="s">
        <v>63</v>
      </c>
      <c r="J45" s="39">
        <v>2750000</v>
      </c>
      <c r="K45" s="42" t="s">
        <v>63</v>
      </c>
      <c r="L45" s="39">
        <v>2750000</v>
      </c>
    </row>
    <row r="46" spans="1:18" x14ac:dyDescent="0.25">
      <c r="G46" s="38" t="s">
        <v>43</v>
      </c>
      <c r="H46" s="39">
        <v>322.74861218395142</v>
      </c>
      <c r="I46" s="42" t="s">
        <v>43</v>
      </c>
      <c r="J46" s="39">
        <v>322748.61218395142</v>
      </c>
      <c r="K46" s="42" t="s">
        <v>43</v>
      </c>
      <c r="L46" s="39">
        <v>322748.61218395142</v>
      </c>
    </row>
    <row r="47" spans="1:18" x14ac:dyDescent="0.25">
      <c r="G47" s="38" t="s">
        <v>64</v>
      </c>
      <c r="H47" s="39">
        <v>1750</v>
      </c>
      <c r="I47" s="42" t="s">
        <v>64</v>
      </c>
      <c r="J47" s="39">
        <v>2750000</v>
      </c>
      <c r="K47" s="42" t="s">
        <v>64</v>
      </c>
      <c r="L47" s="39">
        <v>2750000</v>
      </c>
    </row>
    <row r="48" spans="1:18" x14ac:dyDescent="0.25">
      <c r="G48" s="38" t="s">
        <v>65</v>
      </c>
      <c r="H48" s="39" t="e">
        <v>#N/A</v>
      </c>
      <c r="I48" s="42" t="s">
        <v>65</v>
      </c>
      <c r="J48" s="39" t="e">
        <v>#N/A</v>
      </c>
      <c r="K48" s="42" t="s">
        <v>65</v>
      </c>
      <c r="L48" s="39" t="e">
        <v>#N/A</v>
      </c>
    </row>
    <row r="49" spans="7:12" x14ac:dyDescent="0.25">
      <c r="G49" s="38" t="s">
        <v>66</v>
      </c>
      <c r="H49" s="39">
        <v>645.49722436790285</v>
      </c>
      <c r="I49" s="42" t="s">
        <v>66</v>
      </c>
      <c r="J49" s="39">
        <v>645497.22436790285</v>
      </c>
      <c r="K49" s="42" t="s">
        <v>66</v>
      </c>
      <c r="L49" s="39">
        <v>645497.22436790285</v>
      </c>
    </row>
    <row r="50" spans="7:12" x14ac:dyDescent="0.25">
      <c r="G50" s="38" t="s">
        <v>67</v>
      </c>
      <c r="H50" s="39">
        <v>416666.66666666669</v>
      </c>
      <c r="I50" s="42" t="s">
        <v>67</v>
      </c>
      <c r="J50" s="39">
        <v>416666666666.66669</v>
      </c>
      <c r="K50" s="42" t="s">
        <v>67</v>
      </c>
      <c r="L50" s="39">
        <v>416666666666.66669</v>
      </c>
    </row>
    <row r="51" spans="7:12" x14ac:dyDescent="0.25">
      <c r="G51" s="38" t="s">
        <v>68</v>
      </c>
      <c r="H51" s="39">
        <v>-1.1999999999999975</v>
      </c>
      <c r="I51" s="42" t="s">
        <v>68</v>
      </c>
      <c r="J51" s="39">
        <v>-1.1999999999999975</v>
      </c>
      <c r="K51" s="42" t="s">
        <v>68</v>
      </c>
      <c r="L51" s="39">
        <v>-1.1999999999999975</v>
      </c>
    </row>
    <row r="52" spans="7:12" x14ac:dyDescent="0.25">
      <c r="G52" s="38" t="s">
        <v>69</v>
      </c>
      <c r="H52" s="39">
        <v>0</v>
      </c>
      <c r="I52" s="42" t="s">
        <v>69</v>
      </c>
      <c r="J52" s="39">
        <v>0</v>
      </c>
      <c r="K52" s="42" t="s">
        <v>69</v>
      </c>
      <c r="L52" s="39">
        <v>0</v>
      </c>
    </row>
    <row r="53" spans="7:12" x14ac:dyDescent="0.25">
      <c r="G53" s="38" t="s">
        <v>70</v>
      </c>
      <c r="H53" s="39">
        <v>1500</v>
      </c>
      <c r="I53" s="42" t="s">
        <v>70</v>
      </c>
      <c r="J53" s="39">
        <v>1500000</v>
      </c>
      <c r="K53" s="42" t="s">
        <v>70</v>
      </c>
      <c r="L53" s="39">
        <v>1500000</v>
      </c>
    </row>
    <row r="54" spans="7:12" x14ac:dyDescent="0.25">
      <c r="G54" s="38" t="s">
        <v>71</v>
      </c>
      <c r="H54" s="39">
        <v>1000</v>
      </c>
      <c r="I54" s="42" t="s">
        <v>71</v>
      </c>
      <c r="J54" s="39">
        <v>2000000</v>
      </c>
      <c r="K54" s="42" t="s">
        <v>71</v>
      </c>
      <c r="L54" s="39">
        <v>2000000</v>
      </c>
    </row>
    <row r="55" spans="7:12" x14ac:dyDescent="0.25">
      <c r="G55" s="38" t="s">
        <v>72</v>
      </c>
      <c r="H55" s="39">
        <v>2500</v>
      </c>
      <c r="I55" s="42" t="s">
        <v>72</v>
      </c>
      <c r="J55" s="39">
        <v>3500000</v>
      </c>
      <c r="K55" s="42" t="s">
        <v>72</v>
      </c>
      <c r="L55" s="39">
        <v>3500000</v>
      </c>
    </row>
    <row r="56" spans="7:12" x14ac:dyDescent="0.25">
      <c r="G56" s="38" t="s">
        <v>73</v>
      </c>
      <c r="H56" s="39">
        <v>7000</v>
      </c>
      <c r="I56" s="42" t="s">
        <v>73</v>
      </c>
      <c r="J56" s="39">
        <v>11000000</v>
      </c>
      <c r="K56" s="42" t="s">
        <v>73</v>
      </c>
      <c r="L56" s="39">
        <v>11000000</v>
      </c>
    </row>
    <row r="57" spans="7:12" ht="15.75" thickBot="1" x14ac:dyDescent="0.3">
      <c r="G57" s="40" t="s">
        <v>74</v>
      </c>
      <c r="H57" s="41">
        <v>4</v>
      </c>
      <c r="I57" s="43" t="s">
        <v>74</v>
      </c>
      <c r="J57" s="41">
        <v>4</v>
      </c>
      <c r="K57" s="43" t="s">
        <v>74</v>
      </c>
      <c r="L57" s="41">
        <v>4</v>
      </c>
    </row>
  </sheetData>
  <mergeCells count="17">
    <mergeCell ref="A1:B9"/>
    <mergeCell ref="K4:K5"/>
    <mergeCell ref="L4:L5"/>
    <mergeCell ref="E6:E9"/>
    <mergeCell ref="F6:F9"/>
    <mergeCell ref="J6:J9"/>
    <mergeCell ref="L6:L9"/>
    <mergeCell ref="C1:C10"/>
    <mergeCell ref="E3:L3"/>
    <mergeCell ref="E4:E5"/>
    <mergeCell ref="F4:F5"/>
    <mergeCell ref="G4:G5"/>
    <mergeCell ref="H4:H5"/>
    <mergeCell ref="I4:I5"/>
    <mergeCell ref="J4:J5"/>
    <mergeCell ref="E12:L12"/>
    <mergeCell ref="E13:L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Theory</vt:lpstr>
      <vt:lpstr>Pizza Price Prediction</vt:lpstr>
      <vt:lpstr>Lemonade Sold Prediction</vt:lpstr>
      <vt:lpstr>House Price 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krunal sir</dc:creator>
  <cp:lastModifiedBy>krunal sir</cp:lastModifiedBy>
  <dcterms:created xsi:type="dcterms:W3CDTF">2025-12-30T07:25:47Z</dcterms:created>
  <dcterms:modified xsi:type="dcterms:W3CDTF">2026-01-12T07:18:49Z</dcterms:modified>
</cp:coreProperties>
</file>