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180"/>
  </bookViews>
  <sheets>
    <sheet name="HRM Dataset" sheetId="1" r:id="rId1"/>
  </sheets>
  <definedNames>
    <definedName name="_xlnm._FilterDatabase" localSheetId="0" hidden="1">'HRM Dataset'!$B$4:$F$5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1" l="1"/>
  <c r="U32" i="1"/>
  <c r="M17" i="1" l="1"/>
  <c r="I17" i="1" s="1"/>
  <c r="M61" i="1"/>
  <c r="Q18" i="1"/>
  <c r="U18" i="1"/>
  <c r="U19" i="1"/>
  <c r="Q19" i="1" s="1"/>
  <c r="U20" i="1"/>
  <c r="Q20" i="1" s="1"/>
  <c r="U21" i="1"/>
  <c r="Q21" i="1" s="1"/>
  <c r="U22" i="1"/>
  <c r="Q22" i="1" s="1"/>
  <c r="U23" i="1"/>
  <c r="Q23" i="1" s="1"/>
  <c r="U24" i="1"/>
  <c r="Q24" i="1" s="1"/>
  <c r="U25" i="1"/>
  <c r="Q25" i="1" s="1"/>
  <c r="U26" i="1"/>
  <c r="Q26" i="1" s="1"/>
  <c r="U17" i="1"/>
  <c r="Q17" i="1" s="1"/>
  <c r="U33" i="1"/>
  <c r="Q33" i="1" s="1"/>
  <c r="U34" i="1"/>
  <c r="Q34" i="1" s="1"/>
  <c r="U35" i="1"/>
  <c r="Q35" i="1" s="1"/>
  <c r="U36" i="1"/>
  <c r="Q36" i="1" s="1"/>
  <c r="U37" i="1"/>
  <c r="Q37" i="1" s="1"/>
  <c r="U38" i="1"/>
  <c r="Q38" i="1" s="1"/>
  <c r="U39" i="1"/>
  <c r="Q39" i="1" s="1"/>
  <c r="U40" i="1"/>
  <c r="Q40" i="1" s="1"/>
  <c r="U41" i="1"/>
  <c r="Q41" i="1" s="1"/>
  <c r="Q32" i="1"/>
  <c r="M41" i="1"/>
  <c r="I41" i="1" s="1"/>
  <c r="M40" i="1"/>
  <c r="I40" i="1" s="1"/>
  <c r="M39" i="1"/>
  <c r="I39" i="1" s="1"/>
  <c r="M38" i="1"/>
  <c r="I38" i="1" s="1"/>
  <c r="M37" i="1"/>
  <c r="I37" i="1" s="1"/>
  <c r="M36" i="1"/>
  <c r="I36" i="1" s="1"/>
  <c r="M35" i="1"/>
  <c r="I35" i="1" s="1"/>
  <c r="M34" i="1"/>
  <c r="I34" i="1" s="1"/>
  <c r="M33" i="1"/>
  <c r="I33" i="1" s="1"/>
  <c r="M32" i="1"/>
  <c r="I32" i="1" s="1"/>
  <c r="M26" i="1"/>
  <c r="I26" i="1" s="1"/>
  <c r="M25" i="1"/>
  <c r="I25" i="1" s="1"/>
  <c r="M24" i="1"/>
  <c r="I24" i="1" s="1"/>
  <c r="M23" i="1"/>
  <c r="I23" i="1" s="1"/>
  <c r="M22" i="1"/>
  <c r="I22" i="1" s="1"/>
  <c r="M21" i="1"/>
  <c r="I21" i="1" s="1"/>
  <c r="M19" i="1"/>
  <c r="I19" i="1" s="1"/>
  <c r="M18" i="1"/>
  <c r="I18" i="1" s="1"/>
  <c r="M20" i="1"/>
  <c r="I20" i="1" s="1"/>
</calcChain>
</file>

<file path=xl/sharedStrings.xml><?xml version="1.0" encoding="utf-8"?>
<sst xmlns="http://schemas.openxmlformats.org/spreadsheetml/2006/main" count="612" uniqueCount="400">
  <si>
    <t>Emp No</t>
  </si>
  <si>
    <t>Emp Name</t>
  </si>
  <si>
    <t>Function</t>
  </si>
  <si>
    <t>Date of Birth</t>
  </si>
  <si>
    <t>Date of Admission</t>
  </si>
  <si>
    <t>Aaron Bergman</t>
  </si>
  <si>
    <t>Production</t>
  </si>
  <si>
    <t>20/11/1973</t>
  </si>
  <si>
    <t>Aaron Hawkins</t>
  </si>
  <si>
    <t>20/04/1983</t>
  </si>
  <si>
    <t>24/08/2000</t>
  </si>
  <si>
    <t>Aaron Smayling</t>
  </si>
  <si>
    <t>Adam Bellavance</t>
  </si>
  <si>
    <t>13/12/1975</t>
  </si>
  <si>
    <t>30/12/1994</t>
  </si>
  <si>
    <t>Adam Hart</t>
  </si>
  <si>
    <t>Adam Shillingsburg</t>
  </si>
  <si>
    <t>23/03/1988</t>
  </si>
  <si>
    <t>Adrian Barton</t>
  </si>
  <si>
    <t>13/12/1984</t>
  </si>
  <si>
    <t>29/07/2001</t>
  </si>
  <si>
    <t>Dianna Vittorini</t>
  </si>
  <si>
    <t>19/01/1996</t>
  </si>
  <si>
    <t>Dianna Wilson</t>
  </si>
  <si>
    <t>14/02/1992</t>
  </si>
  <si>
    <t>Dionis Lloyd</t>
  </si>
  <si>
    <t>Susan Gilcrest</t>
  </si>
  <si>
    <t>Susan MacKendrick</t>
  </si>
  <si>
    <t>28/09/1996</t>
  </si>
  <si>
    <t>16/01/2018</t>
  </si>
  <si>
    <t>Susan Pistek</t>
  </si>
  <si>
    <t>14/10/1996</t>
  </si>
  <si>
    <t>Susan Vittorini</t>
  </si>
  <si>
    <t>Suzanne McNair</t>
  </si>
  <si>
    <t>Sylvia Foulston</t>
  </si>
  <si>
    <t>31/01/2016</t>
  </si>
  <si>
    <t>Tamara Chand</t>
  </si>
  <si>
    <t>24/02/1997</t>
  </si>
  <si>
    <t>Tamara Dahlen</t>
  </si>
  <si>
    <t>22/10/2005</t>
  </si>
  <si>
    <t>Henry MacAllister</t>
  </si>
  <si>
    <t>20/02/1999</t>
  </si>
  <si>
    <t>31/01/2020</t>
  </si>
  <si>
    <t>Herbert Flentye</t>
  </si>
  <si>
    <t>Hilary Holden</t>
  </si>
  <si>
    <t>23/02/1987</t>
  </si>
  <si>
    <t>Hunter Glantz</t>
  </si>
  <si>
    <t>Finance</t>
  </si>
  <si>
    <t>28/03/1973</t>
  </si>
  <si>
    <t>Hunter Lopez</t>
  </si>
  <si>
    <t>IT</t>
  </si>
  <si>
    <t>21/08/1956</t>
  </si>
  <si>
    <t>Ionia McGrath</t>
  </si>
  <si>
    <t>27/11/1957</t>
  </si>
  <si>
    <t>Irene Maddox</t>
  </si>
  <si>
    <t>29/01/1958</t>
  </si>
  <si>
    <t>Ivan Gibson</t>
  </si>
  <si>
    <t>Sales</t>
  </si>
  <si>
    <t>31/12/1955</t>
  </si>
  <si>
    <t>Ivan Liston</t>
  </si>
  <si>
    <t>Audit</t>
  </si>
  <si>
    <t>25/12/1957</t>
  </si>
  <si>
    <t>26/12/1976</t>
  </si>
  <si>
    <t>Jack Garza</t>
  </si>
  <si>
    <t>Jack Lebron</t>
  </si>
  <si>
    <t>22/11/1964</t>
  </si>
  <si>
    <t>Jack O'Briant</t>
  </si>
  <si>
    <t>James Galang</t>
  </si>
  <si>
    <t>19/11/1980</t>
  </si>
  <si>
    <t>James Lanier</t>
  </si>
  <si>
    <t>21/08/1964</t>
  </si>
  <si>
    <t>Jamie Frazer</t>
  </si>
  <si>
    <t>Admin Offices</t>
  </si>
  <si>
    <t>23/01/1963</t>
  </si>
  <si>
    <t>29/10/1981</t>
  </si>
  <si>
    <t>Jamie Kunitz</t>
  </si>
  <si>
    <t>14/09/1959</t>
  </si>
  <si>
    <t>Jane Waco</t>
  </si>
  <si>
    <t>Janet Lee</t>
  </si>
  <si>
    <t>Human Recources</t>
  </si>
  <si>
    <t>27/01/1984</t>
  </si>
  <si>
    <t>Janet Martin</t>
  </si>
  <si>
    <t>Retail</t>
  </si>
  <si>
    <t>23/11/1984</t>
  </si>
  <si>
    <t>Janet Molinari</t>
  </si>
  <si>
    <t>25/12/1962</t>
  </si>
  <si>
    <t>13/09/1985</t>
  </si>
  <si>
    <t>Jas O'Carroll</t>
  </si>
  <si>
    <t>20/12/1985</t>
  </si>
  <si>
    <t>Jason Fortune</t>
  </si>
  <si>
    <t>18/06/1966</t>
  </si>
  <si>
    <t>Jason Gross</t>
  </si>
  <si>
    <t>15/10/1969</t>
  </si>
  <si>
    <t>Jason Klamczynski</t>
  </si>
  <si>
    <t>Jasper Cacioppo</t>
  </si>
  <si>
    <t>13/12/1968</t>
  </si>
  <si>
    <t>26/01/1986</t>
  </si>
  <si>
    <t>Mathew Reese</t>
  </si>
  <si>
    <t>30/06/1986</t>
  </si>
  <si>
    <t>Matt Abelman</t>
  </si>
  <si>
    <t>24/07/1986</t>
  </si>
  <si>
    <t>Matt Collins</t>
  </si>
  <si>
    <t>14/09/1971</t>
  </si>
  <si>
    <t>Matt Collister</t>
  </si>
  <si>
    <t>Matt Connell</t>
  </si>
  <si>
    <t>27/11/1964</t>
  </si>
  <si>
    <t>24/04/1987</t>
  </si>
  <si>
    <t>Matt Hagelstein</t>
  </si>
  <si>
    <t>17/01/1955</t>
  </si>
  <si>
    <t>30/10/1987</t>
  </si>
  <si>
    <t>Matthew Clasen</t>
  </si>
  <si>
    <t>13/08/1963</t>
  </si>
  <si>
    <t>28/10/1988</t>
  </si>
  <si>
    <t>Matthew Grinstein</t>
  </si>
  <si>
    <t>20/11/1970</t>
  </si>
  <si>
    <t>30/03/1990</t>
  </si>
  <si>
    <t>Maureen Fritzler</t>
  </si>
  <si>
    <t>Maureen Gastineau</t>
  </si>
  <si>
    <t>14/08/1974</t>
  </si>
  <si>
    <t>13/09/1991</t>
  </si>
  <si>
    <t>Maureen Grace</t>
  </si>
  <si>
    <t>19/10/1974</t>
  </si>
  <si>
    <t>Maurice Satty</t>
  </si>
  <si>
    <t>Max Engle</t>
  </si>
  <si>
    <t>16/10/1992</t>
  </si>
  <si>
    <t>Max Jones</t>
  </si>
  <si>
    <t>Max Ludwig</t>
  </si>
  <si>
    <t>13/11/1992</t>
  </si>
  <si>
    <t>Maxwell Schwartz</t>
  </si>
  <si>
    <t>25/10/1971</t>
  </si>
  <si>
    <t>19/03/1993</t>
  </si>
  <si>
    <t>Maya Herman</t>
  </si>
  <si>
    <t>Meg O'Connel</t>
  </si>
  <si>
    <t>20/01/1995</t>
  </si>
  <si>
    <t>Meg Tillman</t>
  </si>
  <si>
    <t>27/09/1977</t>
  </si>
  <si>
    <t>Melanie Page</t>
  </si>
  <si>
    <t>Michael Chen</t>
  </si>
  <si>
    <t>Michael Dominguez</t>
  </si>
  <si>
    <t>28/11/1979</t>
  </si>
  <si>
    <t>Michael Grace</t>
  </si>
  <si>
    <t>16/05/1980</t>
  </si>
  <si>
    <t>Michael Granlund</t>
  </si>
  <si>
    <t>18/10/1996</t>
  </si>
  <si>
    <t>Michael Kennedy</t>
  </si>
  <si>
    <t>30/04/1974</t>
  </si>
  <si>
    <t>26/09/1997</t>
  </si>
  <si>
    <t>Michael Moore</t>
  </si>
  <si>
    <t>28/12/1980</t>
  </si>
  <si>
    <t>Michael Nguyen</t>
  </si>
  <si>
    <t>29/09/1982</t>
  </si>
  <si>
    <t>14/01/2001</t>
  </si>
  <si>
    <t>Michael Oakman</t>
  </si>
  <si>
    <t>15/06/1985</t>
  </si>
  <si>
    <t>20/07/2001</t>
  </si>
  <si>
    <t>Michael Paige</t>
  </si>
  <si>
    <t>Michael Stewart</t>
  </si>
  <si>
    <t>Michelle Arnett</t>
  </si>
  <si>
    <t>Michelle Ellison</t>
  </si>
  <si>
    <t>27/07/1964</t>
  </si>
  <si>
    <t>14/12/2006</t>
  </si>
  <si>
    <t>Michelle Huthwaite</t>
  </si>
  <si>
    <t>30/03/2007</t>
  </si>
  <si>
    <t>Michelle Lonsdale</t>
  </si>
  <si>
    <t>24/06/1983</t>
  </si>
  <si>
    <t>Michelle Moray</t>
  </si>
  <si>
    <t>19/07/1989</t>
  </si>
  <si>
    <t>Michelle Tran</t>
  </si>
  <si>
    <t>30/11/2007</t>
  </si>
  <si>
    <t>Mick Brown</t>
  </si>
  <si>
    <t>Mick Crebagga</t>
  </si>
  <si>
    <t>16/01/1990</t>
  </si>
  <si>
    <t>Mick Hernandez</t>
  </si>
  <si>
    <t>Mike Caudle</t>
  </si>
  <si>
    <t>23/12/1988</t>
  </si>
  <si>
    <t>Mike Gockenbach</t>
  </si>
  <si>
    <t>Mike Kennedy</t>
  </si>
  <si>
    <t>Mike Pelletier</t>
  </si>
  <si>
    <t>14/08/2013</t>
  </si>
  <si>
    <t>Mike Vittorini</t>
  </si>
  <si>
    <t>24/09/1993</t>
  </si>
  <si>
    <t>24/01/2014</t>
  </si>
  <si>
    <t>Mitch Gastineau</t>
  </si>
  <si>
    <t>31/01/1995</t>
  </si>
  <si>
    <t>Mitch Webber</t>
  </si>
  <si>
    <t>16/09/1994</t>
  </si>
  <si>
    <t>Mitch Willingham</t>
  </si>
  <si>
    <t>27/07/1996</t>
  </si>
  <si>
    <t>14/11/2014</t>
  </si>
  <si>
    <t>Monica Federle</t>
  </si>
  <si>
    <t>25/08/1988</t>
  </si>
  <si>
    <t>Muhammed Lee</t>
  </si>
  <si>
    <t>20/05/1999</t>
  </si>
  <si>
    <t>17/01/2016</t>
  </si>
  <si>
    <t>Muhammed MacIntyre</t>
  </si>
  <si>
    <t>18/01/2016</t>
  </si>
  <si>
    <t>Muhammed Yedwab</t>
  </si>
  <si>
    <t>26/01/2016</t>
  </si>
  <si>
    <t>Nancy Lomonaco</t>
  </si>
  <si>
    <t>Naresj Patel</t>
  </si>
  <si>
    <t>Nat Carroll</t>
  </si>
  <si>
    <t>Nat Gilpin</t>
  </si>
  <si>
    <t>24/09/2000</t>
  </si>
  <si>
    <t>Natalie DeCherney</t>
  </si>
  <si>
    <t>24/09/1997</t>
  </si>
  <si>
    <t>24/02/2017</t>
  </si>
  <si>
    <t>Natalie Fritzler</t>
  </si>
  <si>
    <t>Natalie Webber</t>
  </si>
  <si>
    <t>23/11/1993</t>
  </si>
  <si>
    <t>Nathan Cano</t>
  </si>
  <si>
    <t>16/06/2017</t>
  </si>
  <si>
    <t>Nathan Gelder</t>
  </si>
  <si>
    <t>Nathan Mautz</t>
  </si>
  <si>
    <t>17/12/1999</t>
  </si>
  <si>
    <t>Neil Ducich</t>
  </si>
  <si>
    <t>24/10/2000</t>
  </si>
  <si>
    <t>Neil French</t>
  </si>
  <si>
    <t>28/07/2000</t>
  </si>
  <si>
    <t>16/03/2018</t>
  </si>
  <si>
    <t>Neil Knudson</t>
  </si>
  <si>
    <t>26/12/1999</t>
  </si>
  <si>
    <t>Neola Schneider</t>
  </si>
  <si>
    <t>Neoma Murray</t>
  </si>
  <si>
    <t>18/05/2018</t>
  </si>
  <si>
    <t>Nick Crebassa</t>
  </si>
  <si>
    <t>Nick Radford</t>
  </si>
  <si>
    <t>Nick Zandusky</t>
  </si>
  <si>
    <t>24/02/2019</t>
  </si>
  <si>
    <t>Nicole Brennan</t>
  </si>
  <si>
    <t>20/09/1999</t>
  </si>
  <si>
    <t>Nicole Fjeld</t>
  </si>
  <si>
    <t>18/03/2019</t>
  </si>
  <si>
    <t>Rachel Payne</t>
  </si>
  <si>
    <t>30/09/1969</t>
  </si>
  <si>
    <t>21/03/2019</t>
  </si>
  <si>
    <t>Ralph Arnett</t>
  </si>
  <si>
    <t>Ralph Kennedy</t>
  </si>
  <si>
    <t>24/04/2019</t>
  </si>
  <si>
    <t>Ralph Knight</t>
  </si>
  <si>
    <t>17/12/1968</t>
  </si>
  <si>
    <t>Randy Bradley</t>
  </si>
  <si>
    <t>Randy Ferguson</t>
  </si>
  <si>
    <t>24/04/1997</t>
  </si>
  <si>
    <t>Raymond Book</t>
  </si>
  <si>
    <t>26/08/2019</t>
  </si>
  <si>
    <t>Raymond Fair</t>
  </si>
  <si>
    <t>28/08/1997</t>
  </si>
  <si>
    <t>Resi Polking</t>
  </si>
  <si>
    <t>13/01/2020</t>
  </si>
  <si>
    <t>Ricardo Block</t>
  </si>
  <si>
    <t>30/10/2002</t>
  </si>
  <si>
    <t>23/01/2020</t>
  </si>
  <si>
    <t>Ricardo Emerson</t>
  </si>
  <si>
    <t>Richard Bierner</t>
  </si>
  <si>
    <t>15/09/1997</t>
  </si>
  <si>
    <t>Richard Eichhorn</t>
  </si>
  <si>
    <t>27/02/2020</t>
  </si>
  <si>
    <t>Rick Bensley</t>
  </si>
  <si>
    <t>25/02/2002</t>
  </si>
  <si>
    <t>Rick Duston</t>
  </si>
  <si>
    <t>14/02/2021</t>
  </si>
  <si>
    <t>Rick Hansen</t>
  </si>
  <si>
    <t>13/03/2021</t>
  </si>
  <si>
    <t>Rick Huthwaite</t>
  </si>
  <si>
    <t>24/03/2021</t>
  </si>
  <si>
    <t>Rick Reed</t>
  </si>
  <si>
    <t>23/03/2003</t>
  </si>
  <si>
    <t>26/04/2021</t>
  </si>
  <si>
    <t>Rick Wilson</t>
  </si>
  <si>
    <t>19/04/1963</t>
  </si>
  <si>
    <t>Ritsa Hightower</t>
  </si>
  <si>
    <t>Rob Beeghly</t>
  </si>
  <si>
    <t>16/08/2003</t>
  </si>
  <si>
    <t>17/09/2021</t>
  </si>
  <si>
    <t>Rob Dowd</t>
  </si>
  <si>
    <t>21/05/2002</t>
  </si>
  <si>
    <t>22/10/2021</t>
  </si>
  <si>
    <t>Rob Haberlin</t>
  </si>
  <si>
    <t>18/11/2021</t>
  </si>
  <si>
    <t>Rob Lucas</t>
  </si>
  <si>
    <t>25/11/2021</t>
  </si>
  <si>
    <t>Rob Williams</t>
  </si>
  <si>
    <t>18/12/1999</t>
  </si>
  <si>
    <t>Robert Barroso</t>
  </si>
  <si>
    <t>21/11/2002</t>
  </si>
  <si>
    <t>18/02/2022</t>
  </si>
  <si>
    <t>Robert Dilbeck</t>
  </si>
  <si>
    <t>Robert Marley</t>
  </si>
  <si>
    <t>Robert Waldorf</t>
  </si>
  <si>
    <t>30/10/2003</t>
  </si>
  <si>
    <t>Roger Barcio</t>
  </si>
  <si>
    <t>Roger Demir</t>
  </si>
  <si>
    <t>26/08/1999</t>
  </si>
  <si>
    <t>14/03/2022</t>
  </si>
  <si>
    <t>Roland Black</t>
  </si>
  <si>
    <t>Roland Fjeld</t>
  </si>
  <si>
    <t>26/09/2005</t>
  </si>
  <si>
    <t>Roland Murray</t>
  </si>
  <si>
    <t>24/07/2005</t>
  </si>
  <si>
    <t>Rose O'Brian</t>
  </si>
  <si>
    <t>Ross Baird</t>
  </si>
  <si>
    <t>29/06/2005</t>
  </si>
  <si>
    <t>20/05/2022</t>
  </si>
  <si>
    <t>Ross DeVincentis</t>
  </si>
  <si>
    <t>16/11/1956</t>
  </si>
  <si>
    <t>21/05/2022</t>
  </si>
  <si>
    <t>Roy Collins</t>
  </si>
  <si>
    <t>24/02/2002</t>
  </si>
  <si>
    <t>Roy French</t>
  </si>
  <si>
    <t>29/01/1986</t>
  </si>
  <si>
    <t>26/08/2022</t>
  </si>
  <si>
    <t>Roy Phan</t>
  </si>
  <si>
    <t>15/07/2005</t>
  </si>
  <si>
    <t>19/09/2022</t>
  </si>
  <si>
    <t>Roy Skaria</t>
  </si>
  <si>
    <t>29/09/2022</t>
  </si>
  <si>
    <t>Ruben Ausman</t>
  </si>
  <si>
    <t>Ruben Dartt</t>
  </si>
  <si>
    <t>21/09/2001</t>
  </si>
  <si>
    <t>Russell Applegate</t>
  </si>
  <si>
    <t>20/01/2005</t>
  </si>
  <si>
    <t>13/12/2022</t>
  </si>
  <si>
    <t>Russell D'Ascenzo</t>
  </si>
  <si>
    <t>13/01/2023</t>
  </si>
  <si>
    <t>Ryan Akin</t>
  </si>
  <si>
    <t>15/09/2003</t>
  </si>
  <si>
    <t>18/01/2023</t>
  </si>
  <si>
    <t>Ryan Crowe</t>
  </si>
  <si>
    <t>21/10/2003</t>
  </si>
  <si>
    <t>17/02/2023</t>
  </si>
  <si>
    <t>Valerie Dominguez</t>
  </si>
  <si>
    <t>19/02/2023</t>
  </si>
  <si>
    <t>Valerie Mitchum</t>
  </si>
  <si>
    <t>18/01/2000</t>
  </si>
  <si>
    <t>Valerie Takahito</t>
  </si>
  <si>
    <t>Vicky Freymann</t>
  </si>
  <si>
    <t>25/02/2006</t>
  </si>
  <si>
    <t>Victor Price</t>
  </si>
  <si>
    <t>30/11/2001</t>
  </si>
  <si>
    <t>17/03/2023</t>
  </si>
  <si>
    <t>Victoria Brennan</t>
  </si>
  <si>
    <t>21/04/2023</t>
  </si>
  <si>
    <t>Victoria Pisteka</t>
  </si>
  <si>
    <t>Treasury</t>
  </si>
  <si>
    <t>14/07/1998</t>
  </si>
  <si>
    <t>14/04/2023</t>
  </si>
  <si>
    <t>Victoria Wilson</t>
  </si>
  <si>
    <t>22/06/1984</t>
  </si>
  <si>
    <t>22/04/2023</t>
  </si>
  <si>
    <t>Vivek Gonzalez</t>
  </si>
  <si>
    <t>25/04/2023</t>
  </si>
  <si>
    <t>Vivek Grady</t>
  </si>
  <si>
    <t>15/01/1971</t>
  </si>
  <si>
    <t>Vivek Sundaresam</t>
  </si>
  <si>
    <t>21/01/1998</t>
  </si>
  <si>
    <t>21/05/2023</t>
  </si>
  <si>
    <t>Vivian Mathis</t>
  </si>
  <si>
    <t>15/12/1998</t>
  </si>
  <si>
    <t>19/06/2023</t>
  </si>
  <si>
    <t>William Brown</t>
  </si>
  <si>
    <t>17/12/2002</t>
  </si>
  <si>
    <t>20/06/2023</t>
  </si>
  <si>
    <t>Xylona Price</t>
  </si>
  <si>
    <t>26/01/1999</t>
  </si>
  <si>
    <t>17/06/2023</t>
  </si>
  <si>
    <t>Yana Sorensen</t>
  </si>
  <si>
    <t>Yoseph Carroll</t>
  </si>
  <si>
    <t>21/07/2023</t>
  </si>
  <si>
    <t>David Philippe</t>
  </si>
  <si>
    <t>25/08/2023</t>
  </si>
  <si>
    <t>David Smith</t>
  </si>
  <si>
    <t>13/08/2005</t>
  </si>
  <si>
    <t>20/09/2023</t>
  </si>
  <si>
    <t>David Wiener</t>
  </si>
  <si>
    <t>31/12/2000</t>
  </si>
  <si>
    <t>27/09/2023</t>
  </si>
  <si>
    <t>Dean Braden</t>
  </si>
  <si>
    <t>Dean Katz</t>
  </si>
  <si>
    <t>16/08/2001</t>
  </si>
  <si>
    <t>16/10/2023</t>
  </si>
  <si>
    <t>Descriptive Analytics | Human Resource Management (HRM)</t>
  </si>
  <si>
    <t>10 Eldest Members(Old Admission)</t>
  </si>
  <si>
    <t>10 Youngest members(New Admission)</t>
  </si>
  <si>
    <t>10 Eldest Members(Date of Birth)</t>
  </si>
  <si>
    <t>10 Youngest members(Date of Birth)</t>
  </si>
  <si>
    <t>Birthday In this Month</t>
  </si>
  <si>
    <t>Anniversary In this Month</t>
  </si>
  <si>
    <t>Descriptive Analytics Question</t>
  </si>
  <si>
    <t xml:space="preserve"> </t>
  </si>
  <si>
    <t>Emp.Name</t>
  </si>
  <si>
    <t>Sr.No</t>
  </si>
  <si>
    <t>Dates</t>
  </si>
  <si>
    <t>👴</t>
  </si>
  <si>
    <t>🎂</t>
  </si>
  <si>
    <t>🍷</t>
  </si>
  <si>
    <t>Total Count</t>
  </si>
  <si>
    <t xml:space="preserve">
</t>
  </si>
  <si>
    <t>👦🏻</t>
  </si>
  <si>
    <r>
      <t>FILTER(dataset[Emp Name], MONTH</t>
    </r>
    <r>
      <rPr>
        <b/>
        <sz val="12"/>
        <rFont val="Calibri"/>
        <family val="2"/>
        <scheme val="minor"/>
      </rPr>
      <t>(</t>
    </r>
    <r>
      <rPr>
        <b/>
        <sz val="12"/>
        <color theme="1"/>
        <rFont val="Calibri"/>
        <family val="2"/>
        <scheme val="minor"/>
      </rPr>
      <t>DATEVALUE</t>
    </r>
    <r>
      <rPr>
        <b/>
        <sz val="12"/>
        <rFont val="Calibri"/>
        <family val="2"/>
        <scheme val="minor"/>
      </rPr>
      <t>(</t>
    </r>
    <r>
      <rPr>
        <b/>
        <sz val="12"/>
        <color theme="1"/>
        <rFont val="Calibri"/>
        <family val="2"/>
        <scheme val="minor"/>
      </rPr>
      <t>dataset[Date of Birth]</t>
    </r>
    <r>
      <rPr>
        <b/>
        <sz val="12"/>
        <rFont val="Calibri"/>
        <family val="2"/>
        <scheme val="minor"/>
      </rPr>
      <t>))</t>
    </r>
    <r>
      <rPr>
        <b/>
        <sz val="12"/>
        <color theme="1"/>
        <rFont val="Calibri"/>
        <family val="2"/>
        <scheme val="minor"/>
      </rPr>
      <t xml:space="preserve"> = MONTH</t>
    </r>
    <r>
      <rPr>
        <b/>
        <sz val="12"/>
        <rFont val="Calibri"/>
        <family val="2"/>
        <scheme val="minor"/>
      </rPr>
      <t>(</t>
    </r>
    <r>
      <rPr>
        <b/>
        <sz val="12"/>
        <color theme="1"/>
        <rFont val="Calibri"/>
        <family val="2"/>
        <scheme val="minor"/>
      </rPr>
      <t>TODAY</t>
    </r>
    <r>
      <rPr>
        <b/>
        <sz val="12"/>
        <rFont val="Calibri"/>
        <family val="2"/>
        <scheme val="minor"/>
      </rPr>
      <t>())</t>
    </r>
    <r>
      <rPr>
        <b/>
        <sz val="12"/>
        <color theme="1"/>
        <rFont val="Calibri"/>
        <family val="2"/>
        <scheme val="minor"/>
      </rPr>
      <t xml:space="preserve">)
</t>
    </r>
  </si>
  <si>
    <t>COUNT(FILTER(dataset[Emp Name], MONTH(DATEVALUE(dataset[Date of Birth])) = MONTH(TODAY())))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</si>
</sst>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2" fillId="2" borderId="15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wrapText="1"/>
    </xf>
    <xf numFmtId="0" fontId="3" fillId="0" borderId="3" xfId="0" applyNumberFormat="1" applyFont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1" fillId="5" borderId="11" xfId="0" applyFont="1" applyFill="1" applyBorder="1" applyAlignment="1">
      <alignment horizontal="left"/>
    </xf>
    <xf numFmtId="0" fontId="11" fillId="5" borderId="12" xfId="0" applyFont="1" applyFill="1" applyBorder="1" applyAlignment="1">
      <alignment horizontal="left"/>
    </xf>
    <xf numFmtId="0" fontId="11" fillId="5" borderId="13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1" fillId="4" borderId="13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left"/>
    </xf>
    <xf numFmtId="0" fontId="11" fillId="7" borderId="13" xfId="0" applyFont="1" applyFill="1" applyBorder="1" applyAlignment="1">
      <alignment horizontal="left"/>
    </xf>
    <xf numFmtId="0" fontId="11" fillId="8" borderId="11" xfId="0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13" xfId="0" applyFont="1" applyFill="1" applyBorder="1" applyAlignment="1">
      <alignment horizontal="left"/>
    </xf>
    <xf numFmtId="0" fontId="11" fillId="6" borderId="11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left"/>
    </xf>
    <xf numFmtId="0" fontId="11" fillId="6" borderId="13" xfId="0" applyFont="1" applyFill="1" applyBorder="1" applyAlignment="1">
      <alignment horizontal="left"/>
    </xf>
    <xf numFmtId="0" fontId="11" fillId="9" borderId="11" xfId="0" applyFont="1" applyFill="1" applyBorder="1" applyAlignment="1">
      <alignment horizontal="left"/>
    </xf>
    <xf numFmtId="0" fontId="11" fillId="9" borderId="12" xfId="0" applyFont="1" applyFill="1" applyBorder="1" applyAlignment="1">
      <alignment horizontal="left"/>
    </xf>
    <xf numFmtId="0" fontId="11" fillId="9" borderId="13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/d/yyyy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m/d/yyyy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54904</xdr:colOff>
      <xdr:row>4</xdr:row>
      <xdr:rowOff>17577</xdr:rowOff>
    </xdr:from>
    <xdr:to>
      <xdr:col>7</xdr:col>
      <xdr:colOff>582813</xdr:colOff>
      <xdr:row>5</xdr:row>
      <xdr:rowOff>178667</xdr:rowOff>
    </xdr:to>
    <xdr:pic>
      <xdr:nvPicPr>
        <xdr:cNvPr id="2" name="Picture 1" descr="Aerial view of business data analysis graph - ID: 3803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187" y="779577"/>
          <a:ext cx="527909" cy="3515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dataset" displayName="dataset" ref="B4:F187" totalsRowShown="0" headerRowDxfId="6" tableBorderDxfId="5">
  <autoFilter ref="B4:F187"/>
  <tableColumns count="5">
    <tableColumn id="1" name="Emp No" dataDxfId="4"/>
    <tableColumn id="2" name="Emp Name" dataDxfId="3"/>
    <tableColumn id="3" name="Function" dataDxfId="2"/>
    <tableColumn id="4" name="Date of Birth" dataDxfId="1"/>
    <tableColumn id="5" name="Date of Admis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87"/>
  <sheetViews>
    <sheetView tabSelected="1" topLeftCell="D1" zoomScale="115" zoomScaleNormal="115" workbookViewId="0">
      <selection activeCell="R7" sqref="R7"/>
    </sheetView>
  </sheetViews>
  <sheetFormatPr defaultRowHeight="15"/>
  <cols>
    <col min="1" max="1" width="9.140625" style="1"/>
    <col min="2" max="2" width="18.140625" style="1" customWidth="1"/>
    <col min="3" max="3" width="30.7109375" style="26" customWidth="1"/>
    <col min="4" max="4" width="21.42578125" style="1" customWidth="1"/>
    <col min="5" max="5" width="20" style="6" customWidth="1"/>
    <col min="6" max="6" width="23.5703125" style="6" customWidth="1"/>
    <col min="7" max="7" width="16" style="1" customWidth="1"/>
    <col min="8" max="8" width="9.140625" style="1" customWidth="1"/>
    <col min="9" max="12" width="9.140625" style="1"/>
    <col min="13" max="13" width="18.28515625" style="1" customWidth="1"/>
    <col min="14" max="16384" width="9.140625" style="1"/>
  </cols>
  <sheetData>
    <row r="1" spans="2:22">
      <c r="B1" s="84" t="s">
        <v>380</v>
      </c>
      <c r="C1" s="85"/>
      <c r="D1" s="85"/>
      <c r="E1" s="85"/>
      <c r="F1" s="85"/>
    </row>
    <row r="2" spans="2:22">
      <c r="B2" s="85"/>
      <c r="C2" s="85"/>
      <c r="D2" s="85"/>
      <c r="E2" s="85"/>
      <c r="F2" s="85"/>
    </row>
    <row r="4" spans="2:22">
      <c r="B4" s="15" t="s">
        <v>0</v>
      </c>
      <c r="C4" s="22" t="s">
        <v>1</v>
      </c>
      <c r="D4" s="11" t="s">
        <v>2</v>
      </c>
      <c r="E4" s="16" t="s">
        <v>3</v>
      </c>
      <c r="F4" s="19" t="s">
        <v>4</v>
      </c>
      <c r="G4" s="1" t="s">
        <v>388</v>
      </c>
    </row>
    <row r="5" spans="2:22" ht="15" customHeight="1">
      <c r="B5" s="9"/>
      <c r="C5" s="23"/>
      <c r="D5" s="7"/>
      <c r="E5" s="10"/>
      <c r="F5" s="20"/>
      <c r="H5" s="70"/>
      <c r="I5" s="72" t="s">
        <v>387</v>
      </c>
      <c r="J5" s="73"/>
      <c r="K5" s="73"/>
      <c r="L5" s="73"/>
      <c r="M5" s="74"/>
    </row>
    <row r="6" spans="2:22" ht="15" customHeight="1">
      <c r="B6" s="8">
        <v>798319</v>
      </c>
      <c r="C6" s="24" t="s">
        <v>5</v>
      </c>
      <c r="D6" s="2" t="s">
        <v>6</v>
      </c>
      <c r="E6" s="3" t="s">
        <v>7</v>
      </c>
      <c r="F6" s="17">
        <v>33664</v>
      </c>
      <c r="H6" s="71"/>
      <c r="I6" s="75"/>
      <c r="J6" s="76"/>
      <c r="K6" s="76"/>
      <c r="L6" s="76"/>
      <c r="M6" s="77"/>
    </row>
    <row r="7" spans="2:22" ht="18.75">
      <c r="B7" s="8">
        <v>735878</v>
      </c>
      <c r="C7" s="24" t="s">
        <v>8</v>
      </c>
      <c r="D7" s="2" t="s">
        <v>6</v>
      </c>
      <c r="E7" s="3" t="s">
        <v>9</v>
      </c>
      <c r="F7" s="17" t="s">
        <v>10</v>
      </c>
      <c r="H7" s="27">
        <v>1</v>
      </c>
      <c r="I7" s="78" t="s">
        <v>381</v>
      </c>
      <c r="J7" s="79"/>
      <c r="K7" s="79"/>
      <c r="L7" s="79"/>
      <c r="M7" s="80"/>
    </row>
    <row r="8" spans="2:22" ht="18.75">
      <c r="B8" s="8">
        <v>749007</v>
      </c>
      <c r="C8" s="24" t="s">
        <v>11</v>
      </c>
      <c r="D8" s="2" t="s">
        <v>6</v>
      </c>
      <c r="E8" s="3">
        <v>25965</v>
      </c>
      <c r="F8" s="17">
        <v>33664</v>
      </c>
      <c r="H8" s="28">
        <v>2</v>
      </c>
      <c r="I8" s="81" t="s">
        <v>382</v>
      </c>
      <c r="J8" s="82"/>
      <c r="K8" s="82"/>
      <c r="L8" s="82"/>
      <c r="M8" s="83"/>
    </row>
    <row r="9" spans="2:22" ht="18.75">
      <c r="B9" s="8">
        <v>814629</v>
      </c>
      <c r="C9" s="24" t="s">
        <v>12</v>
      </c>
      <c r="D9" s="2" t="s">
        <v>6</v>
      </c>
      <c r="E9" s="3" t="s">
        <v>13</v>
      </c>
      <c r="F9" s="17" t="s">
        <v>14</v>
      </c>
      <c r="H9" s="29">
        <v>3</v>
      </c>
      <c r="I9" s="89" t="s">
        <v>383</v>
      </c>
      <c r="J9" s="90"/>
      <c r="K9" s="90"/>
      <c r="L9" s="90"/>
      <c r="M9" s="91"/>
    </row>
    <row r="10" spans="2:22" ht="18.75">
      <c r="B10" s="8">
        <v>778037</v>
      </c>
      <c r="C10" s="24" t="s">
        <v>15</v>
      </c>
      <c r="D10" s="2" t="s">
        <v>6</v>
      </c>
      <c r="E10" s="3">
        <v>34092</v>
      </c>
      <c r="F10" s="17">
        <v>42685</v>
      </c>
      <c r="H10" s="30">
        <v>4</v>
      </c>
      <c r="I10" s="92" t="s">
        <v>384</v>
      </c>
      <c r="J10" s="93"/>
      <c r="K10" s="93"/>
      <c r="L10" s="93"/>
      <c r="M10" s="94"/>
    </row>
    <row r="11" spans="2:22" ht="18.75">
      <c r="B11" s="8">
        <v>681948</v>
      </c>
      <c r="C11" s="24" t="s">
        <v>16</v>
      </c>
      <c r="D11" s="2" t="s">
        <v>6</v>
      </c>
      <c r="E11" s="3" t="s">
        <v>17</v>
      </c>
      <c r="F11" s="17">
        <v>38659</v>
      </c>
      <c r="H11" s="31">
        <v>5</v>
      </c>
      <c r="I11" s="95" t="s">
        <v>385</v>
      </c>
      <c r="J11" s="96"/>
      <c r="K11" s="96"/>
      <c r="L11" s="96"/>
      <c r="M11" s="97"/>
    </row>
    <row r="12" spans="2:22" ht="18.75">
      <c r="B12" s="8">
        <v>624270</v>
      </c>
      <c r="C12" s="24" t="s">
        <v>18</v>
      </c>
      <c r="D12" s="2" t="s">
        <v>6</v>
      </c>
      <c r="E12" s="3" t="s">
        <v>19</v>
      </c>
      <c r="F12" s="17" t="s">
        <v>20</v>
      </c>
      <c r="H12" s="32">
        <v>6</v>
      </c>
      <c r="I12" s="98" t="s">
        <v>386</v>
      </c>
      <c r="J12" s="99"/>
      <c r="K12" s="99"/>
      <c r="L12" s="99"/>
      <c r="M12" s="100"/>
    </row>
    <row r="13" spans="2:22">
      <c r="B13" s="8">
        <v>806507</v>
      </c>
      <c r="C13" s="24" t="s">
        <v>21</v>
      </c>
      <c r="D13" s="2" t="s">
        <v>6</v>
      </c>
      <c r="E13" s="3">
        <v>27829</v>
      </c>
      <c r="F13" s="17" t="s">
        <v>22</v>
      </c>
    </row>
    <row r="14" spans="2:22">
      <c r="B14" s="8">
        <v>648707</v>
      </c>
      <c r="C14" s="24" t="s">
        <v>23</v>
      </c>
      <c r="D14" s="2" t="s">
        <v>6</v>
      </c>
      <c r="E14" s="3" t="s">
        <v>24</v>
      </c>
      <c r="F14" s="17">
        <v>39633</v>
      </c>
      <c r="H14" s="86" t="s">
        <v>392</v>
      </c>
      <c r="I14" s="88" t="s">
        <v>381</v>
      </c>
      <c r="J14" s="88"/>
      <c r="K14" s="88"/>
      <c r="L14" s="88"/>
      <c r="M14" s="88"/>
      <c r="N14" s="88"/>
      <c r="P14" s="65" t="s">
        <v>392</v>
      </c>
      <c r="Q14" s="67" t="s">
        <v>383</v>
      </c>
      <c r="R14" s="67"/>
      <c r="S14" s="67"/>
      <c r="T14" s="67"/>
      <c r="U14" s="67"/>
      <c r="V14" s="67"/>
    </row>
    <row r="15" spans="2:22">
      <c r="B15" s="8">
        <v>843774</v>
      </c>
      <c r="C15" s="24" t="s">
        <v>25</v>
      </c>
      <c r="D15" s="2" t="s">
        <v>6</v>
      </c>
      <c r="E15" s="3">
        <v>29923</v>
      </c>
      <c r="F15" s="17">
        <v>38324</v>
      </c>
      <c r="H15" s="87"/>
      <c r="I15" s="88"/>
      <c r="J15" s="88"/>
      <c r="K15" s="88"/>
      <c r="L15" s="88"/>
      <c r="M15" s="88"/>
      <c r="N15" s="88"/>
      <c r="P15" s="66"/>
      <c r="Q15" s="67"/>
      <c r="R15" s="67"/>
      <c r="S15" s="67"/>
      <c r="T15" s="67"/>
      <c r="U15" s="67"/>
      <c r="V15" s="67"/>
    </row>
    <row r="16" spans="2:22">
      <c r="B16" s="8">
        <v>730727</v>
      </c>
      <c r="C16" s="24" t="s">
        <v>26</v>
      </c>
      <c r="D16" s="2" t="s">
        <v>6</v>
      </c>
      <c r="E16" s="3">
        <v>27942</v>
      </c>
      <c r="F16" s="17">
        <v>41283</v>
      </c>
      <c r="H16" s="5" t="s">
        <v>390</v>
      </c>
      <c r="I16" s="36" t="s">
        <v>389</v>
      </c>
      <c r="J16" s="36"/>
      <c r="K16" s="36"/>
      <c r="L16" s="36"/>
      <c r="M16" s="101" t="s">
        <v>391</v>
      </c>
      <c r="N16" s="101"/>
      <c r="P16" s="5" t="s">
        <v>390</v>
      </c>
      <c r="Q16" s="36" t="s">
        <v>389</v>
      </c>
      <c r="R16" s="36"/>
      <c r="S16" s="36"/>
      <c r="T16" s="36"/>
      <c r="U16" s="36" t="s">
        <v>391</v>
      </c>
      <c r="V16" s="36"/>
    </row>
    <row r="17" spans="2:22">
      <c r="B17" s="8">
        <v>741587</v>
      </c>
      <c r="C17" s="24" t="s">
        <v>27</v>
      </c>
      <c r="D17" s="2" t="s">
        <v>6</v>
      </c>
      <c r="E17" s="3" t="s">
        <v>28</v>
      </c>
      <c r="F17" s="17" t="s">
        <v>29</v>
      </c>
      <c r="H17" s="4">
        <v>1</v>
      </c>
      <c r="I17" s="64" t="str">
        <f>INDEX(dataset[Emp Name], MATCH(M17, dataset[Date of Admission], 0))</f>
        <v>Hunter Lopez</v>
      </c>
      <c r="J17" s="64"/>
      <c r="K17" s="64"/>
      <c r="L17" s="64"/>
      <c r="M17" s="48">
        <f>SMALL(dataset[Date of Admission],1)</f>
        <v>26299</v>
      </c>
      <c r="N17" s="48"/>
      <c r="P17" s="4">
        <v>1</v>
      </c>
      <c r="Q17" s="33" t="str">
        <f>INDEX(dataset[Emp Name],MATCH(U17,dataset[Date of Birth],0))</f>
        <v>Russell D'Ascenzo</v>
      </c>
      <c r="R17" s="33"/>
      <c r="S17" s="33"/>
      <c r="T17" s="33"/>
      <c r="U17" s="48">
        <f>SMALL(dataset[Date of Birth],P17)</f>
        <v>19725</v>
      </c>
      <c r="V17" s="48"/>
    </row>
    <row r="18" spans="2:22">
      <c r="B18" s="8">
        <v>823715</v>
      </c>
      <c r="C18" s="24" t="s">
        <v>30</v>
      </c>
      <c r="D18" s="2" t="s">
        <v>6</v>
      </c>
      <c r="E18" s="3" t="s">
        <v>31</v>
      </c>
      <c r="F18" s="17">
        <v>43654</v>
      </c>
      <c r="H18" s="4">
        <v>2</v>
      </c>
      <c r="I18" s="64" t="str">
        <f>INDEX(dataset[Emp Name], MATCH(M18, dataset[Date of Admission], 0))</f>
        <v>Ionia McGrath</v>
      </c>
      <c r="J18" s="64"/>
      <c r="K18" s="64"/>
      <c r="L18" s="64"/>
      <c r="M18" s="48">
        <f>SMALL(dataset[Date of Admission],H18)</f>
        <v>26665</v>
      </c>
      <c r="N18" s="48"/>
      <c r="P18" s="4">
        <v>2</v>
      </c>
      <c r="Q18" s="33" t="str">
        <f>INDEX(dataset[Emp Name],MATCH(U18,dataset[Date of Birth],0))</f>
        <v>Hunter Glantz</v>
      </c>
      <c r="R18" s="33"/>
      <c r="S18" s="33"/>
      <c r="T18" s="33"/>
      <c r="U18" s="48">
        <f>SMALL(dataset[Date of Birth],P18)</f>
        <v>20944</v>
      </c>
      <c r="V18" s="48"/>
    </row>
    <row r="19" spans="2:22">
      <c r="B19" s="8">
        <v>656271</v>
      </c>
      <c r="C19" s="24" t="s">
        <v>32</v>
      </c>
      <c r="D19" s="2" t="s">
        <v>6</v>
      </c>
      <c r="E19" s="3">
        <v>33157</v>
      </c>
      <c r="F19" s="17">
        <v>40066</v>
      </c>
      <c r="H19" s="4">
        <v>3</v>
      </c>
      <c r="I19" s="64" t="str">
        <f>INDEX(dataset[Emp Name], MATCH(M19, dataset[Date of Admission], 0))</f>
        <v>Irene Maddox</v>
      </c>
      <c r="J19" s="64"/>
      <c r="K19" s="64"/>
      <c r="L19" s="64"/>
      <c r="M19" s="48">
        <f>SMALL(dataset[Date of Admission],H19)</f>
        <v>27277</v>
      </c>
      <c r="N19" s="48"/>
      <c r="P19" s="4">
        <v>3</v>
      </c>
      <c r="Q19" s="33" t="str">
        <f>INDEX(dataset[Emp Name],MATCH(U19,dataset[Date of Birth],0))</f>
        <v>Dean Braden</v>
      </c>
      <c r="R19" s="33"/>
      <c r="S19" s="33"/>
      <c r="T19" s="33"/>
      <c r="U19" s="48">
        <f>SMALL(dataset[Date of Birth],P19)</f>
        <v>21193</v>
      </c>
      <c r="V19" s="48"/>
    </row>
    <row r="20" spans="2:22">
      <c r="B20" s="8">
        <v>633456</v>
      </c>
      <c r="C20" s="24" t="s">
        <v>33</v>
      </c>
      <c r="D20" s="2" t="s">
        <v>6</v>
      </c>
      <c r="E20" s="3">
        <v>34670</v>
      </c>
      <c r="F20" s="17">
        <v>42370</v>
      </c>
      <c r="H20" s="4">
        <v>4</v>
      </c>
      <c r="I20" s="64" t="str">
        <f>INDEX(dataset[Emp Name], MATCH(M20, dataset[Date of Admission], 0))</f>
        <v>Ivan Gibson</v>
      </c>
      <c r="J20" s="64"/>
      <c r="K20" s="64"/>
      <c r="L20" s="64"/>
      <c r="M20" s="48">
        <f>SMALL(dataset[Date of Admission],4)</f>
        <v>27395</v>
      </c>
      <c r="N20" s="48"/>
      <c r="P20" s="4">
        <v>4</v>
      </c>
      <c r="Q20" s="33" t="str">
        <f>INDEX(dataset[Emp Name],MATCH(U20,dataset[Date of Birth],0))</f>
        <v>Jack O'Briant</v>
      </c>
      <c r="R20" s="33"/>
      <c r="S20" s="33"/>
      <c r="T20" s="33"/>
      <c r="U20" s="48">
        <f>SMALL(dataset[Date of Birth],P20)</f>
        <v>21317</v>
      </c>
      <c r="V20" s="48"/>
    </row>
    <row r="21" spans="2:22">
      <c r="B21" s="8">
        <v>620254</v>
      </c>
      <c r="C21" s="24" t="s">
        <v>34</v>
      </c>
      <c r="D21" s="2" t="s">
        <v>6</v>
      </c>
      <c r="E21" s="3">
        <v>35985</v>
      </c>
      <c r="F21" s="17" t="s">
        <v>35</v>
      </c>
      <c r="H21" s="4">
        <v>5</v>
      </c>
      <c r="I21" s="64" t="str">
        <f>INDEX(dataset[Emp Name], MATCH(M21, dataset[Date of Admission], 0))</f>
        <v>Jack Garza</v>
      </c>
      <c r="J21" s="64"/>
      <c r="K21" s="64"/>
      <c r="L21" s="64"/>
      <c r="M21" s="48">
        <f>SMALL(dataset[Date of Admission],H21)</f>
        <v>28253</v>
      </c>
      <c r="N21" s="48"/>
      <c r="P21" s="4">
        <v>5</v>
      </c>
      <c r="Q21" s="33" t="str">
        <f>INDEX(dataset[Emp Name],MATCH(U21,dataset[Date of Birth],0))</f>
        <v>Jack Garza</v>
      </c>
      <c r="R21" s="33"/>
      <c r="S21" s="33"/>
      <c r="T21" s="33"/>
      <c r="U21" s="48">
        <f>SMALL(dataset[Date of Birth],P21)</f>
        <v>22252</v>
      </c>
      <c r="V21" s="48"/>
    </row>
    <row r="22" spans="2:22">
      <c r="B22" s="8">
        <v>612222</v>
      </c>
      <c r="C22" s="24" t="s">
        <v>36</v>
      </c>
      <c r="D22" s="2" t="s">
        <v>6</v>
      </c>
      <c r="E22" s="3" t="s">
        <v>37</v>
      </c>
      <c r="F22" s="17">
        <v>42796</v>
      </c>
      <c r="H22" s="4">
        <v>6</v>
      </c>
      <c r="I22" s="64" t="str">
        <f>INDEX(dataset[Emp Name], MATCH(M22, dataset[Date of Admission], 0))</f>
        <v>Jack Lebron</v>
      </c>
      <c r="J22" s="64"/>
      <c r="K22" s="64"/>
      <c r="L22" s="64"/>
      <c r="M22" s="48">
        <f>SMALL(dataset[Date of Admission],H22)</f>
        <v>28491</v>
      </c>
      <c r="N22" s="48"/>
      <c r="P22" s="4">
        <v>6</v>
      </c>
      <c r="Q22" s="33" t="str">
        <f>INDEX(dataset[Emp Name],MATCH(U22,dataset[Date of Birth],0))</f>
        <v>Janet Martin</v>
      </c>
      <c r="R22" s="33"/>
      <c r="S22" s="33"/>
      <c r="T22" s="33"/>
      <c r="U22" s="48">
        <f>SMALL(dataset[Date of Birth],P22)</f>
        <v>22496</v>
      </c>
      <c r="V22" s="48"/>
    </row>
    <row r="23" spans="2:22">
      <c r="B23" s="8">
        <v>613597</v>
      </c>
      <c r="C23" s="24" t="s">
        <v>38</v>
      </c>
      <c r="D23" s="2" t="s">
        <v>6</v>
      </c>
      <c r="E23" s="3">
        <v>30812</v>
      </c>
      <c r="F23" s="17" t="s">
        <v>39</v>
      </c>
      <c r="H23" s="4">
        <v>7</v>
      </c>
      <c r="I23" s="64" t="str">
        <f>INDEX(dataset[Emp Name], MATCH(M23, dataset[Date of Admission], 0))</f>
        <v>Jack Lebron</v>
      </c>
      <c r="J23" s="64"/>
      <c r="K23" s="64"/>
      <c r="L23" s="64"/>
      <c r="M23" s="48">
        <f>SMALL(dataset[Date of Admission],H23)</f>
        <v>28491</v>
      </c>
      <c r="N23" s="48"/>
      <c r="P23" s="4">
        <v>7</v>
      </c>
      <c r="Q23" s="33" t="str">
        <f>INDEX(dataset[Emp Name],MATCH(U23,dataset[Date of Birth],0))</f>
        <v>James Galang</v>
      </c>
      <c r="R23" s="33"/>
      <c r="S23" s="33"/>
      <c r="T23" s="33"/>
      <c r="U23" s="48">
        <f>SMALL(dataset[Date of Birth],P23)</f>
        <v>22563</v>
      </c>
      <c r="V23" s="48"/>
    </row>
    <row r="24" spans="2:22">
      <c r="B24" s="8">
        <v>681598</v>
      </c>
      <c r="C24" s="24" t="s">
        <v>40</v>
      </c>
      <c r="D24" s="2" t="s">
        <v>6</v>
      </c>
      <c r="E24" s="3" t="s">
        <v>41</v>
      </c>
      <c r="F24" s="17" t="s">
        <v>42</v>
      </c>
      <c r="H24" s="4">
        <v>8</v>
      </c>
      <c r="I24" s="64" t="str">
        <f>INDEX(dataset[Emp Name], MATCH(M24, dataset[Date of Admission], 0))</f>
        <v>James Lanier</v>
      </c>
      <c r="J24" s="64"/>
      <c r="K24" s="64"/>
      <c r="L24" s="64"/>
      <c r="M24" s="48">
        <f>SMALL(dataset[Date of Admission],H24)</f>
        <v>29649</v>
      </c>
      <c r="N24" s="48"/>
      <c r="P24" s="4">
        <v>8</v>
      </c>
      <c r="Q24" s="33" t="str">
        <f>INDEX(dataset[Emp Name],MATCH(U24,dataset[Date of Birth],0))</f>
        <v>Nathan Cano</v>
      </c>
      <c r="R24" s="33"/>
      <c r="S24" s="33"/>
      <c r="T24" s="33"/>
      <c r="U24" s="48">
        <f>SMALL(dataset[Date of Birth],P24)</f>
        <v>23015</v>
      </c>
      <c r="V24" s="48"/>
    </row>
    <row r="25" spans="2:22">
      <c r="B25" s="8">
        <v>677768</v>
      </c>
      <c r="C25" s="24" t="s">
        <v>43</v>
      </c>
      <c r="D25" s="2" t="s">
        <v>6</v>
      </c>
      <c r="E25" s="3">
        <v>31419</v>
      </c>
      <c r="F25" s="17">
        <v>43288</v>
      </c>
      <c r="H25" s="4">
        <v>9</v>
      </c>
      <c r="I25" s="64" t="str">
        <f>INDEX(dataset[Emp Name], MATCH(M25, dataset[Date of Admission], 0))</f>
        <v>Jamie Kunitz</v>
      </c>
      <c r="J25" s="64"/>
      <c r="K25" s="64"/>
      <c r="L25" s="64"/>
      <c r="M25" s="48">
        <f>SMALL(dataset[Date of Admission],H25)</f>
        <v>29932</v>
      </c>
      <c r="N25" s="48"/>
      <c r="P25" s="4">
        <v>9</v>
      </c>
      <c r="Q25" s="33" t="str">
        <f>INDEX(dataset[Emp Name],MATCH(U25,dataset[Date of Birth],0))</f>
        <v>Jane Waco</v>
      </c>
      <c r="R25" s="33"/>
      <c r="S25" s="33"/>
      <c r="T25" s="33"/>
      <c r="U25" s="48">
        <f>SMALL(dataset[Date of Birth],P25)</f>
        <v>23323</v>
      </c>
      <c r="V25" s="48"/>
    </row>
    <row r="26" spans="2:22" ht="15" customHeight="1">
      <c r="B26" s="8">
        <v>845467</v>
      </c>
      <c r="C26" s="24" t="s">
        <v>44</v>
      </c>
      <c r="D26" s="2" t="s">
        <v>6</v>
      </c>
      <c r="E26" s="3" t="s">
        <v>45</v>
      </c>
      <c r="F26" s="17">
        <v>44476</v>
      </c>
      <c r="H26" s="4">
        <v>10</v>
      </c>
      <c r="I26" s="64" t="str">
        <f>INDEX(dataset[Emp Name], MATCH(M26, dataset[Date of Admission], 0))</f>
        <v>Jane Waco</v>
      </c>
      <c r="J26" s="64"/>
      <c r="K26" s="64"/>
      <c r="L26" s="64"/>
      <c r="M26" s="48">
        <f>SMALL(dataset[Date of Admission],H26)</f>
        <v>30287</v>
      </c>
      <c r="N26" s="48"/>
      <c r="P26" s="4">
        <v>10</v>
      </c>
      <c r="Q26" s="33" t="str">
        <f>INDEX(dataset[Emp Name],MATCH(U26,dataset[Date of Birth],0))</f>
        <v>Maurice Satty</v>
      </c>
      <c r="R26" s="33"/>
      <c r="S26" s="33"/>
      <c r="T26" s="33"/>
      <c r="U26" s="48">
        <f>SMALL(dataset[Date of Birth],P26)</f>
        <v>23560</v>
      </c>
      <c r="V26" s="48"/>
    </row>
    <row r="27" spans="2:22">
      <c r="B27" s="8">
        <v>830644</v>
      </c>
      <c r="C27" s="24" t="s">
        <v>46</v>
      </c>
      <c r="D27" s="2" t="s">
        <v>47</v>
      </c>
      <c r="E27" s="3">
        <v>20944</v>
      </c>
      <c r="F27" s="17" t="s">
        <v>48</v>
      </c>
    </row>
    <row r="28" spans="2:22">
      <c r="B28" s="8">
        <v>783507</v>
      </c>
      <c r="C28" s="24" t="s">
        <v>49</v>
      </c>
      <c r="D28" s="2" t="s">
        <v>50</v>
      </c>
      <c r="E28" s="3" t="s">
        <v>51</v>
      </c>
      <c r="F28" s="17">
        <v>26299</v>
      </c>
    </row>
    <row r="29" spans="2:22">
      <c r="B29" s="8">
        <v>624408</v>
      </c>
      <c r="C29" s="24" t="s">
        <v>52</v>
      </c>
      <c r="D29" s="2" t="s">
        <v>50</v>
      </c>
      <c r="E29" s="3" t="s">
        <v>53</v>
      </c>
      <c r="F29" s="17">
        <v>26665</v>
      </c>
      <c r="H29" s="102" t="s">
        <v>397</v>
      </c>
      <c r="I29" s="104" t="s">
        <v>382</v>
      </c>
      <c r="J29" s="104"/>
      <c r="K29" s="104"/>
      <c r="L29" s="104"/>
      <c r="M29" s="104"/>
      <c r="N29" s="104"/>
      <c r="P29" s="61" t="s">
        <v>397</v>
      </c>
      <c r="Q29" s="63" t="s">
        <v>384</v>
      </c>
      <c r="R29" s="63"/>
      <c r="S29" s="63"/>
      <c r="T29" s="63"/>
      <c r="U29" s="63"/>
      <c r="V29" s="63"/>
    </row>
    <row r="30" spans="2:22">
      <c r="B30" s="8">
        <v>624461</v>
      </c>
      <c r="C30" s="24" t="s">
        <v>54</v>
      </c>
      <c r="D30" s="2" t="s">
        <v>47</v>
      </c>
      <c r="E30" s="3" t="s">
        <v>55</v>
      </c>
      <c r="F30" s="17">
        <v>27277</v>
      </c>
      <c r="H30" s="103"/>
      <c r="I30" s="104"/>
      <c r="J30" s="104"/>
      <c r="K30" s="104"/>
      <c r="L30" s="104"/>
      <c r="M30" s="104"/>
      <c r="N30" s="104"/>
      <c r="P30" s="62"/>
      <c r="Q30" s="63"/>
      <c r="R30" s="63"/>
      <c r="S30" s="63"/>
      <c r="T30" s="63"/>
      <c r="U30" s="63"/>
      <c r="V30" s="63"/>
    </row>
    <row r="31" spans="2:22">
      <c r="B31" s="8">
        <v>735223</v>
      </c>
      <c r="C31" s="24" t="s">
        <v>56</v>
      </c>
      <c r="D31" s="2" t="s">
        <v>57</v>
      </c>
      <c r="E31" s="3" t="s">
        <v>58</v>
      </c>
      <c r="F31" s="17">
        <v>27395</v>
      </c>
      <c r="H31" s="5" t="s">
        <v>390</v>
      </c>
      <c r="I31" s="36" t="s">
        <v>389</v>
      </c>
      <c r="J31" s="36"/>
      <c r="K31" s="36"/>
      <c r="L31" s="36"/>
      <c r="M31" s="36" t="s">
        <v>391</v>
      </c>
      <c r="N31" s="36"/>
      <c r="P31" s="5" t="s">
        <v>390</v>
      </c>
      <c r="Q31" s="36" t="s">
        <v>389</v>
      </c>
      <c r="R31" s="36"/>
      <c r="S31" s="36"/>
      <c r="T31" s="36"/>
      <c r="U31" s="36" t="s">
        <v>391</v>
      </c>
      <c r="V31" s="36"/>
    </row>
    <row r="32" spans="2:22">
      <c r="B32" s="8">
        <v>771206</v>
      </c>
      <c r="C32" s="24" t="s">
        <v>59</v>
      </c>
      <c r="D32" s="2" t="s">
        <v>60</v>
      </c>
      <c r="E32" s="3" t="s">
        <v>61</v>
      </c>
      <c r="F32" s="17" t="s">
        <v>62</v>
      </c>
      <c r="H32" s="4">
        <v>1</v>
      </c>
      <c r="I32" s="47" t="str">
        <f>INDEX(dataset[Emp Name], MATCH(M32, dataset[Date of Admission], 0))</f>
        <v>Vicky Freymann</v>
      </c>
      <c r="J32" s="47"/>
      <c r="K32" s="47"/>
      <c r="L32" s="47"/>
      <c r="M32" s="48">
        <f>LARGE(dataset[Date of Admission],1)</f>
        <v>45202</v>
      </c>
      <c r="N32" s="48"/>
      <c r="P32" s="4">
        <v>1</v>
      </c>
      <c r="Q32" s="47" t="str">
        <f>INDEX(dataset[Emp Name],MATCH(U32,dataset[Date of Birth],0))</f>
        <v>Valerie Dominguez</v>
      </c>
      <c r="R32" s="47"/>
      <c r="S32" s="47"/>
      <c r="T32" s="47"/>
      <c r="U32" s="48">
        <f>LARGE(dataset[Date of Birth],P32)</f>
        <v>38626</v>
      </c>
      <c r="V32" s="48"/>
    </row>
    <row r="33" spans="2:22">
      <c r="B33" s="8">
        <v>774976</v>
      </c>
      <c r="C33" s="24" t="s">
        <v>63</v>
      </c>
      <c r="D33" s="2" t="s">
        <v>57</v>
      </c>
      <c r="E33" s="3">
        <v>22252</v>
      </c>
      <c r="F33" s="17">
        <v>28253</v>
      </c>
      <c r="H33" s="4">
        <v>2</v>
      </c>
      <c r="I33" s="47" t="str">
        <f>INDEX(dataset[Emp Name], MATCH(M33, dataset[Date of Admission], 0))</f>
        <v>Yana Sorensen</v>
      </c>
      <c r="J33" s="47"/>
      <c r="K33" s="47"/>
      <c r="L33" s="47"/>
      <c r="M33" s="48">
        <f>LARGE(dataset[Date of Admission],H33)</f>
        <v>45084</v>
      </c>
      <c r="N33" s="48"/>
      <c r="P33" s="4">
        <v>2</v>
      </c>
      <c r="Q33" s="47" t="str">
        <f>INDEX(dataset[Emp Name],MATCH(U33,dataset[Date of Birth],0))</f>
        <v>David Philippe</v>
      </c>
      <c r="R33" s="47"/>
      <c r="S33" s="47"/>
      <c r="T33" s="47"/>
      <c r="U33" s="48">
        <f>LARGE(dataset[Date of Birth],P33)</f>
        <v>38537</v>
      </c>
      <c r="V33" s="48"/>
    </row>
    <row r="34" spans="2:22">
      <c r="B34" s="8">
        <v>751874</v>
      </c>
      <c r="C34" s="24" t="s">
        <v>64</v>
      </c>
      <c r="D34" s="2" t="s">
        <v>57</v>
      </c>
      <c r="E34" s="3" t="s">
        <v>65</v>
      </c>
      <c r="F34" s="17">
        <v>28491</v>
      </c>
      <c r="H34" s="4">
        <v>3</v>
      </c>
      <c r="I34" s="47" t="str">
        <f>INDEX(dataset[Emp Name], MATCH(M34, dataset[Date of Admission], 0))</f>
        <v>Dean Braden</v>
      </c>
      <c r="J34" s="47"/>
      <c r="K34" s="47"/>
      <c r="L34" s="47"/>
      <c r="M34" s="48">
        <f>LARGE(dataset[Date of Admission],H34)</f>
        <v>44967</v>
      </c>
      <c r="N34" s="48"/>
      <c r="P34" s="4">
        <v>3</v>
      </c>
      <c r="Q34" s="47" t="str">
        <f>INDEX(dataset[Emp Name],MATCH(U34,dataset[Date of Birth],0))</f>
        <v>Roger Barcio</v>
      </c>
      <c r="R34" s="47"/>
      <c r="S34" s="47"/>
      <c r="T34" s="47"/>
      <c r="U34" s="48">
        <f>LARGE(dataset[Date of Birth],P34)</f>
        <v>38322</v>
      </c>
      <c r="V34" s="48"/>
    </row>
    <row r="35" spans="2:22">
      <c r="B35" s="8">
        <v>835503</v>
      </c>
      <c r="C35" s="24" t="s">
        <v>66</v>
      </c>
      <c r="D35" s="2" t="s">
        <v>60</v>
      </c>
      <c r="E35" s="3">
        <v>21317</v>
      </c>
      <c r="F35" s="17">
        <v>28491</v>
      </c>
      <c r="H35" s="4">
        <v>4</v>
      </c>
      <c r="I35" s="47" t="str">
        <f>INDEX(dataset[Emp Name], MATCH(M35, dataset[Date of Admission], 0))</f>
        <v>Rose O'Brian</v>
      </c>
      <c r="J35" s="47"/>
      <c r="K35" s="47"/>
      <c r="L35" s="47"/>
      <c r="M35" s="48">
        <f>LARGE(dataset[Date of Admission],H35)</f>
        <v>44778</v>
      </c>
      <c r="N35" s="48"/>
      <c r="P35" s="4">
        <v>4</v>
      </c>
      <c r="Q35" s="47" t="str">
        <f>INDEX(dataset[Emp Name],MATCH(U35,dataset[Date of Birth],0))</f>
        <v>Valerie Takahito</v>
      </c>
      <c r="R35" s="47"/>
      <c r="S35" s="47"/>
      <c r="T35" s="47"/>
      <c r="U35" s="48">
        <f>LARGE(dataset[Date of Birth],P35)</f>
        <v>38300</v>
      </c>
      <c r="V35" s="48"/>
    </row>
    <row r="36" spans="2:22">
      <c r="B36" s="8">
        <v>802336</v>
      </c>
      <c r="C36" s="24" t="s">
        <v>67</v>
      </c>
      <c r="D36" s="2" t="s">
        <v>57</v>
      </c>
      <c r="E36" s="3">
        <v>22563</v>
      </c>
      <c r="F36" s="17" t="s">
        <v>68</v>
      </c>
      <c r="H36" s="4">
        <v>5</v>
      </c>
      <c r="I36" s="47" t="str">
        <f>INDEX(dataset[Emp Name], MATCH(M36, dataset[Date of Admission], 0))</f>
        <v>Ruben Ausman</v>
      </c>
      <c r="J36" s="47"/>
      <c r="K36" s="47"/>
      <c r="L36" s="47"/>
      <c r="M36" s="48">
        <f>LARGE(dataset[Date of Admission],H36)</f>
        <v>44752</v>
      </c>
      <c r="N36" s="48"/>
      <c r="P36" s="4">
        <v>5</v>
      </c>
      <c r="Q36" s="47" t="str">
        <f>INDEX(dataset[Emp Name],MATCH(U36,dataset[Date of Birth],0))</f>
        <v>Robert Dilbeck</v>
      </c>
      <c r="R36" s="47"/>
      <c r="S36" s="47"/>
      <c r="T36" s="47"/>
      <c r="U36" s="48">
        <f>LARGE(dataset[Date of Birth],P36)</f>
        <v>38271</v>
      </c>
      <c r="V36" s="48"/>
    </row>
    <row r="37" spans="2:22">
      <c r="B37" s="8">
        <v>766045</v>
      </c>
      <c r="C37" s="24" t="s">
        <v>69</v>
      </c>
      <c r="D37" s="2" t="s">
        <v>60</v>
      </c>
      <c r="E37" s="3" t="s">
        <v>70</v>
      </c>
      <c r="F37" s="17">
        <v>29649</v>
      </c>
      <c r="H37" s="4">
        <v>6</v>
      </c>
      <c r="I37" s="47" t="str">
        <f>INDEX(dataset[Emp Name], MATCH(M37, dataset[Date of Admission], 0))</f>
        <v>Robert Dilbeck</v>
      </c>
      <c r="J37" s="47"/>
      <c r="K37" s="47"/>
      <c r="L37" s="47"/>
      <c r="M37" s="48">
        <f>LARGE(dataset[Date of Admission],H37)</f>
        <v>44715</v>
      </c>
      <c r="N37" s="48"/>
      <c r="P37" s="4">
        <v>6</v>
      </c>
      <c r="Q37" s="47" t="str">
        <f>INDEX(dataset[Emp Name],MATCH(U37,dataset[Date of Birth],0))</f>
        <v>Victoria Brennan</v>
      </c>
      <c r="R37" s="47"/>
      <c r="S37" s="47"/>
      <c r="T37" s="47"/>
      <c r="U37" s="48">
        <f>LARGE(dataset[Date of Birth],P37)</f>
        <v>38021</v>
      </c>
      <c r="V37" s="48"/>
    </row>
    <row r="38" spans="2:22">
      <c r="B38" s="8">
        <v>621238</v>
      </c>
      <c r="C38" s="24" t="s">
        <v>71</v>
      </c>
      <c r="D38" s="2" t="s">
        <v>72</v>
      </c>
      <c r="E38" s="3" t="s">
        <v>73</v>
      </c>
      <c r="F38" s="17" t="s">
        <v>74</v>
      </c>
      <c r="H38" s="4">
        <v>7</v>
      </c>
      <c r="I38" s="47" t="str">
        <f>INDEX(dataset[Emp Name], MATCH(M38, dataset[Date of Admission], 0))</f>
        <v>Robert Dilbeck</v>
      </c>
      <c r="J38" s="47"/>
      <c r="K38" s="47"/>
      <c r="L38" s="47"/>
      <c r="M38" s="48">
        <f>LARGE(dataset[Date of Admission],H38)</f>
        <v>44715</v>
      </c>
      <c r="N38" s="48"/>
      <c r="P38" s="4">
        <v>7</v>
      </c>
      <c r="Q38" s="47" t="str">
        <f>INDEX(dataset[Emp Name],MATCH(U38,dataset[Date of Birth],0))</f>
        <v>Rick Hansen</v>
      </c>
      <c r="R38" s="47"/>
      <c r="S38" s="47"/>
      <c r="T38" s="47"/>
      <c r="U38" s="48">
        <f>LARGE(dataset[Date of Birth],P38)</f>
        <v>37869</v>
      </c>
      <c r="V38" s="48"/>
    </row>
    <row r="39" spans="2:22">
      <c r="B39" s="8">
        <v>658088</v>
      </c>
      <c r="C39" s="24" t="s">
        <v>75</v>
      </c>
      <c r="D39" s="2" t="s">
        <v>72</v>
      </c>
      <c r="E39" s="3" t="s">
        <v>76</v>
      </c>
      <c r="F39" s="17">
        <v>29932</v>
      </c>
      <c r="H39" s="4">
        <v>8</v>
      </c>
      <c r="I39" s="47" t="str">
        <f>INDEX(dataset[Emp Name], MATCH(M39, dataset[Date of Admission], 0))</f>
        <v>Robert Dilbeck</v>
      </c>
      <c r="J39" s="47"/>
      <c r="K39" s="47"/>
      <c r="L39" s="47"/>
      <c r="M39" s="48">
        <f>LARGE(dataset[Date of Admission],H39)</f>
        <v>44715</v>
      </c>
      <c r="N39" s="48"/>
      <c r="P39" s="4">
        <v>8</v>
      </c>
      <c r="Q39" s="47" t="str">
        <f>INDEX(dataset[Emp Name],MATCH(U39,dataset[Date of Birth],0))</f>
        <v>Rick Huthwaite</v>
      </c>
      <c r="R39" s="47"/>
      <c r="S39" s="47"/>
      <c r="T39" s="47"/>
      <c r="U39" s="48">
        <f>LARGE(dataset[Date of Birth],P39)</f>
        <v>37865</v>
      </c>
      <c r="V39" s="48"/>
    </row>
    <row r="40" spans="2:22">
      <c r="B40" s="8">
        <v>792571</v>
      </c>
      <c r="C40" s="24" t="s">
        <v>77</v>
      </c>
      <c r="D40" s="2" t="s">
        <v>60</v>
      </c>
      <c r="E40" s="3">
        <v>23323</v>
      </c>
      <c r="F40" s="17">
        <v>30287</v>
      </c>
      <c r="H40" s="4">
        <v>9</v>
      </c>
      <c r="I40" s="47" t="str">
        <f>INDEX(dataset[Emp Name], MATCH(M40, dataset[Date of Admission], 0))</f>
        <v>Robert Dilbeck</v>
      </c>
      <c r="J40" s="47"/>
      <c r="K40" s="47"/>
      <c r="L40" s="47"/>
      <c r="M40" s="48">
        <f>LARGE(dataset[Date of Admission],H40)</f>
        <v>44715</v>
      </c>
      <c r="N40" s="48"/>
      <c r="P40" s="4">
        <v>9</v>
      </c>
      <c r="Q40" s="47" t="str">
        <f>INDEX(dataset[Emp Name],MATCH(U40,dataset[Date of Birth],0))</f>
        <v>Robert Marley</v>
      </c>
      <c r="R40" s="47"/>
      <c r="S40" s="47"/>
      <c r="T40" s="47"/>
      <c r="U40" s="48">
        <f>LARGE(dataset[Date of Birth],P40)</f>
        <v>37780</v>
      </c>
      <c r="V40" s="48"/>
    </row>
    <row r="41" spans="2:22">
      <c r="B41" s="8">
        <v>821518</v>
      </c>
      <c r="C41" s="24" t="s">
        <v>78</v>
      </c>
      <c r="D41" s="2" t="s">
        <v>79</v>
      </c>
      <c r="E41" s="3">
        <v>23722</v>
      </c>
      <c r="F41" s="17" t="s">
        <v>80</v>
      </c>
      <c r="H41" s="4">
        <v>10</v>
      </c>
      <c r="I41" s="47" t="str">
        <f>INDEX(dataset[Emp Name], MATCH(M41, dataset[Date of Admission], 0))</f>
        <v>Ruben Dartt</v>
      </c>
      <c r="J41" s="47"/>
      <c r="K41" s="47"/>
      <c r="L41" s="47"/>
      <c r="M41" s="48">
        <f>LARGE(dataset[Date of Admission],H41)</f>
        <v>44573</v>
      </c>
      <c r="N41" s="48"/>
      <c r="P41" s="4">
        <v>10</v>
      </c>
      <c r="Q41" s="47" t="str">
        <f>INDEX(dataset[Emp Name],MATCH(U41,dataset[Date of Birth],0))</f>
        <v>Roland Black</v>
      </c>
      <c r="R41" s="47"/>
      <c r="S41" s="47"/>
      <c r="T41" s="47"/>
      <c r="U41" s="48">
        <f>LARGE(dataset[Date of Birth],P41)</f>
        <v>37753</v>
      </c>
      <c r="V41" s="48"/>
    </row>
    <row r="42" spans="2:22">
      <c r="B42" s="8">
        <v>665693</v>
      </c>
      <c r="C42" s="24" t="s">
        <v>81</v>
      </c>
      <c r="D42" s="2" t="s">
        <v>82</v>
      </c>
      <c r="E42" s="3">
        <v>22496</v>
      </c>
      <c r="F42" s="17" t="s">
        <v>83</v>
      </c>
    </row>
    <row r="43" spans="2:22">
      <c r="B43" s="8">
        <v>712454</v>
      </c>
      <c r="C43" s="24" t="s">
        <v>84</v>
      </c>
      <c r="D43" s="2" t="s">
        <v>82</v>
      </c>
      <c r="E43" s="3" t="s">
        <v>85</v>
      </c>
      <c r="F43" s="17" t="s">
        <v>86</v>
      </c>
    </row>
    <row r="44" spans="2:22" ht="15" customHeight="1">
      <c r="B44" s="8">
        <v>707767</v>
      </c>
      <c r="C44" s="24" t="s">
        <v>87</v>
      </c>
      <c r="D44" s="2" t="s">
        <v>57</v>
      </c>
      <c r="E44" s="3">
        <v>24812</v>
      </c>
      <c r="F44" s="17" t="s">
        <v>88</v>
      </c>
      <c r="H44" s="49" t="s">
        <v>393</v>
      </c>
      <c r="I44" s="53" t="s">
        <v>385</v>
      </c>
      <c r="J44" s="54"/>
      <c r="K44" s="54"/>
      <c r="L44" s="55"/>
      <c r="M44" s="59" t="s">
        <v>395</v>
      </c>
      <c r="N44" s="60"/>
      <c r="P44" s="34" t="s">
        <v>394</v>
      </c>
      <c r="Q44" s="37" t="s">
        <v>386</v>
      </c>
      <c r="R44" s="38"/>
      <c r="S44" s="38"/>
      <c r="T44" s="39"/>
      <c r="U44" s="43" t="s">
        <v>395</v>
      </c>
      <c r="V44" s="44"/>
    </row>
    <row r="45" spans="2:22" ht="15" customHeight="1">
      <c r="B45" s="8">
        <v>801566</v>
      </c>
      <c r="C45" s="24" t="s">
        <v>89</v>
      </c>
      <c r="D45" s="2" t="s">
        <v>50</v>
      </c>
      <c r="E45" s="3" t="s">
        <v>90</v>
      </c>
      <c r="F45" s="17">
        <v>31472</v>
      </c>
      <c r="H45" s="50"/>
      <c r="I45" s="56"/>
      <c r="J45" s="57"/>
      <c r="K45" s="57"/>
      <c r="L45" s="58"/>
      <c r="M45" s="45"/>
      <c r="N45" s="46"/>
      <c r="P45" s="35"/>
      <c r="Q45" s="40"/>
      <c r="R45" s="41"/>
      <c r="S45" s="41"/>
      <c r="T45" s="42"/>
      <c r="U45" s="45"/>
      <c r="V45" s="46"/>
    </row>
    <row r="46" spans="2:22">
      <c r="B46" s="8">
        <v>817486</v>
      </c>
      <c r="C46" s="24" t="s">
        <v>91</v>
      </c>
      <c r="D46" s="2" t="s">
        <v>50</v>
      </c>
      <c r="E46" s="3" t="s">
        <v>92</v>
      </c>
      <c r="F46" s="17">
        <v>31717</v>
      </c>
      <c r="H46" s="5" t="s">
        <v>390</v>
      </c>
      <c r="I46" s="36" t="s">
        <v>389</v>
      </c>
      <c r="J46" s="36"/>
      <c r="K46" s="36"/>
      <c r="L46" s="36"/>
      <c r="M46" s="51">
        <f ca="1">NOW()</f>
        <v>46066.741445949076</v>
      </c>
      <c r="N46" s="36"/>
      <c r="P46" s="5" t="s">
        <v>390</v>
      </c>
      <c r="Q46" s="36" t="s">
        <v>389</v>
      </c>
      <c r="R46" s="36"/>
      <c r="S46" s="36"/>
      <c r="T46" s="36"/>
      <c r="U46" s="36"/>
      <c r="V46" s="36"/>
    </row>
    <row r="47" spans="2:22">
      <c r="B47" s="8">
        <v>622391</v>
      </c>
      <c r="C47" s="24" t="s">
        <v>93</v>
      </c>
      <c r="D47" s="2" t="s">
        <v>57</v>
      </c>
      <c r="E47" s="3">
        <v>25246</v>
      </c>
      <c r="F47" s="17">
        <v>41345</v>
      </c>
      <c r="H47" s="4">
        <v>1</v>
      </c>
      <c r="I47" s="52" t="s">
        <v>396</v>
      </c>
      <c r="J47" s="47"/>
      <c r="K47" s="47"/>
      <c r="L47" s="47"/>
      <c r="M47" s="48"/>
      <c r="N47" s="48"/>
      <c r="P47" s="4">
        <v>1</v>
      </c>
      <c r="Q47" s="33"/>
      <c r="R47" s="33"/>
      <c r="S47" s="33"/>
      <c r="T47" s="33"/>
      <c r="U47" s="33"/>
      <c r="V47" s="33"/>
    </row>
    <row r="48" spans="2:22">
      <c r="B48" s="8">
        <v>749614</v>
      </c>
      <c r="C48" s="24" t="s">
        <v>94</v>
      </c>
      <c r="D48" s="2" t="s">
        <v>60</v>
      </c>
      <c r="E48" s="3" t="s">
        <v>95</v>
      </c>
      <c r="F48" s="17" t="s">
        <v>96</v>
      </c>
      <c r="H48" s="4">
        <v>2</v>
      </c>
      <c r="I48" s="47"/>
      <c r="J48" s="47"/>
      <c r="K48" s="47"/>
      <c r="L48" s="47"/>
      <c r="M48" s="48"/>
      <c r="N48" s="48"/>
      <c r="P48" s="4">
        <v>2</v>
      </c>
      <c r="Q48" s="33"/>
      <c r="R48" s="33"/>
      <c r="S48" s="33"/>
      <c r="T48" s="33"/>
      <c r="U48" s="33"/>
      <c r="V48" s="33"/>
    </row>
    <row r="49" spans="2:22">
      <c r="B49" s="8">
        <v>624719</v>
      </c>
      <c r="C49" s="24" t="s">
        <v>97</v>
      </c>
      <c r="D49" s="2" t="s">
        <v>79</v>
      </c>
      <c r="E49" s="3">
        <v>24085</v>
      </c>
      <c r="F49" s="17" t="s">
        <v>98</v>
      </c>
      <c r="H49" s="4">
        <v>3</v>
      </c>
      <c r="I49" s="47"/>
      <c r="J49" s="47"/>
      <c r="K49" s="47"/>
      <c r="L49" s="47"/>
      <c r="M49" s="48"/>
      <c r="N49" s="48"/>
      <c r="P49" s="4">
        <v>3</v>
      </c>
      <c r="Q49" s="33"/>
      <c r="R49" s="33"/>
      <c r="S49" s="33"/>
      <c r="T49" s="33"/>
      <c r="U49" s="33"/>
      <c r="V49" s="33"/>
    </row>
    <row r="50" spans="2:22">
      <c r="B50" s="8">
        <v>779841</v>
      </c>
      <c r="C50" s="24" t="s">
        <v>99</v>
      </c>
      <c r="D50" s="2" t="s">
        <v>50</v>
      </c>
      <c r="E50" s="3">
        <v>25484</v>
      </c>
      <c r="F50" s="17" t="s">
        <v>100</v>
      </c>
      <c r="H50" s="4">
        <v>4</v>
      </c>
      <c r="I50" s="47"/>
      <c r="J50" s="47"/>
      <c r="K50" s="47"/>
      <c r="L50" s="47"/>
      <c r="M50" s="48"/>
      <c r="N50" s="48"/>
      <c r="P50" s="4">
        <v>4</v>
      </c>
      <c r="Q50" s="33"/>
      <c r="R50" s="33"/>
      <c r="S50" s="33"/>
      <c r="T50" s="33"/>
      <c r="U50" s="33"/>
      <c r="V50" s="33"/>
    </row>
    <row r="51" spans="2:22">
      <c r="B51" s="8">
        <v>837844</v>
      </c>
      <c r="C51" s="24" t="s">
        <v>101</v>
      </c>
      <c r="D51" s="2" t="s">
        <v>60</v>
      </c>
      <c r="E51" s="3" t="s">
        <v>102</v>
      </c>
      <c r="F51" s="17">
        <v>31758</v>
      </c>
      <c r="H51" s="4">
        <v>5</v>
      </c>
      <c r="I51" s="47"/>
      <c r="J51" s="47"/>
      <c r="K51" s="47"/>
      <c r="L51" s="47"/>
      <c r="M51" s="48"/>
      <c r="N51" s="48"/>
      <c r="P51" s="4">
        <v>5</v>
      </c>
      <c r="Q51" s="33"/>
      <c r="R51" s="33"/>
      <c r="S51" s="33"/>
      <c r="T51" s="33"/>
      <c r="U51" s="33"/>
      <c r="V51" s="33"/>
    </row>
    <row r="52" spans="2:22">
      <c r="B52" s="8">
        <v>753170</v>
      </c>
      <c r="C52" s="24" t="s">
        <v>103</v>
      </c>
      <c r="D52" s="2" t="s">
        <v>79</v>
      </c>
      <c r="E52" s="3">
        <v>25123</v>
      </c>
      <c r="F52" s="17">
        <v>31930</v>
      </c>
      <c r="H52" s="4">
        <v>6</v>
      </c>
      <c r="I52" s="47"/>
      <c r="J52" s="47"/>
      <c r="K52" s="47"/>
      <c r="L52" s="47"/>
      <c r="M52" s="48"/>
      <c r="N52" s="48"/>
      <c r="P52" s="4">
        <v>6</v>
      </c>
      <c r="Q52" s="33"/>
      <c r="R52" s="33"/>
      <c r="S52" s="33"/>
      <c r="T52" s="33"/>
      <c r="U52" s="33"/>
      <c r="V52" s="33"/>
    </row>
    <row r="53" spans="2:22">
      <c r="B53" s="8">
        <v>655433</v>
      </c>
      <c r="C53" s="24" t="s">
        <v>104</v>
      </c>
      <c r="D53" s="2" t="s">
        <v>72</v>
      </c>
      <c r="E53" s="3" t="s">
        <v>105</v>
      </c>
      <c r="F53" s="17" t="s">
        <v>106</v>
      </c>
      <c r="H53" s="4">
        <v>7</v>
      </c>
      <c r="I53" s="47"/>
      <c r="J53" s="47"/>
      <c r="K53" s="47"/>
      <c r="L53" s="47"/>
      <c r="M53" s="48"/>
      <c r="N53" s="48"/>
      <c r="P53" s="4">
        <v>7</v>
      </c>
      <c r="Q53" s="33"/>
      <c r="R53" s="33"/>
      <c r="S53" s="33"/>
      <c r="T53" s="33"/>
      <c r="U53" s="33"/>
      <c r="V53" s="33"/>
    </row>
    <row r="54" spans="2:22">
      <c r="B54" s="8">
        <v>669122</v>
      </c>
      <c r="C54" s="24" t="s">
        <v>107</v>
      </c>
      <c r="D54" s="2" t="s">
        <v>60</v>
      </c>
      <c r="E54" s="3" t="s">
        <v>108</v>
      </c>
      <c r="F54" s="17" t="s">
        <v>109</v>
      </c>
      <c r="H54" s="4">
        <v>8</v>
      </c>
      <c r="I54" s="47"/>
      <c r="J54" s="47"/>
      <c r="K54" s="47"/>
      <c r="L54" s="47"/>
      <c r="M54" s="48"/>
      <c r="N54" s="48"/>
      <c r="P54" s="4">
        <v>8</v>
      </c>
      <c r="Q54" s="33"/>
      <c r="R54" s="33"/>
      <c r="S54" s="33"/>
      <c r="T54" s="33"/>
      <c r="U54" s="33"/>
      <c r="V54" s="33"/>
    </row>
    <row r="55" spans="2:22">
      <c r="B55" s="8">
        <v>773427</v>
      </c>
      <c r="C55" s="24" t="s">
        <v>110</v>
      </c>
      <c r="D55" s="2" t="s">
        <v>60</v>
      </c>
      <c r="E55" s="3" t="s">
        <v>111</v>
      </c>
      <c r="F55" s="17" t="s">
        <v>112</v>
      </c>
      <c r="H55" s="4">
        <v>9</v>
      </c>
      <c r="I55" s="47"/>
      <c r="J55" s="47"/>
      <c r="K55" s="47"/>
      <c r="L55" s="47"/>
      <c r="M55" s="48"/>
      <c r="N55" s="48"/>
      <c r="P55" s="4">
        <v>9</v>
      </c>
      <c r="Q55" s="33"/>
      <c r="R55" s="33"/>
      <c r="S55" s="33"/>
      <c r="T55" s="33"/>
      <c r="U55" s="33"/>
      <c r="V55" s="33"/>
    </row>
    <row r="56" spans="2:22">
      <c r="B56" s="8">
        <v>646283</v>
      </c>
      <c r="C56" s="24" t="s">
        <v>113</v>
      </c>
      <c r="D56" s="2" t="s">
        <v>79</v>
      </c>
      <c r="E56" s="3" t="s">
        <v>114</v>
      </c>
      <c r="F56" s="17" t="s">
        <v>115</v>
      </c>
      <c r="H56" s="4">
        <v>10</v>
      </c>
      <c r="I56" s="47"/>
      <c r="J56" s="47"/>
      <c r="K56" s="47"/>
      <c r="L56" s="47"/>
      <c r="M56" s="48"/>
      <c r="N56" s="48"/>
      <c r="P56" s="4">
        <v>10</v>
      </c>
      <c r="Q56" s="33"/>
      <c r="R56" s="33"/>
      <c r="S56" s="33"/>
      <c r="T56" s="33"/>
      <c r="U56" s="33"/>
      <c r="V56" s="33"/>
    </row>
    <row r="57" spans="2:22">
      <c r="B57" s="8">
        <v>718778</v>
      </c>
      <c r="C57" s="24" t="s">
        <v>116</v>
      </c>
      <c r="D57" s="2" t="s">
        <v>82</v>
      </c>
      <c r="E57" s="3">
        <v>26733</v>
      </c>
      <c r="F57" s="17">
        <v>32915</v>
      </c>
    </row>
    <row r="58" spans="2:22">
      <c r="B58" s="8">
        <v>685311</v>
      </c>
      <c r="C58" s="24" t="s">
        <v>117</v>
      </c>
      <c r="D58" s="2" t="s">
        <v>50</v>
      </c>
      <c r="E58" s="3" t="s">
        <v>118</v>
      </c>
      <c r="F58" s="17" t="s">
        <v>119</v>
      </c>
    </row>
    <row r="59" spans="2:22">
      <c r="B59" s="8">
        <v>840067</v>
      </c>
      <c r="C59" s="24" t="s">
        <v>120</v>
      </c>
      <c r="D59" s="2" t="s">
        <v>72</v>
      </c>
      <c r="E59" s="3" t="s">
        <v>121</v>
      </c>
      <c r="F59" s="17">
        <v>33552</v>
      </c>
      <c r="M59" s="18">
        <v>46051</v>
      </c>
    </row>
    <row r="60" spans="2:22">
      <c r="B60" s="8">
        <v>701146</v>
      </c>
      <c r="C60" s="24" t="s">
        <v>122</v>
      </c>
      <c r="D60" s="2" t="s">
        <v>82</v>
      </c>
      <c r="E60" s="3">
        <v>23560</v>
      </c>
      <c r="F60" s="17">
        <v>33878</v>
      </c>
    </row>
    <row r="61" spans="2:22">
      <c r="B61" s="8">
        <v>631665</v>
      </c>
      <c r="C61" s="24" t="s">
        <v>123</v>
      </c>
      <c r="D61" s="2" t="s">
        <v>57</v>
      </c>
      <c r="E61" s="3">
        <v>25272</v>
      </c>
      <c r="F61" s="17" t="s">
        <v>124</v>
      </c>
      <c r="M61" s="4">
        <f>MONTH(M59)</f>
        <v>1</v>
      </c>
    </row>
    <row r="62" spans="2:22">
      <c r="B62" s="8">
        <v>633397</v>
      </c>
      <c r="C62" s="24" t="s">
        <v>125</v>
      </c>
      <c r="D62" s="2" t="s">
        <v>60</v>
      </c>
      <c r="E62" s="3">
        <v>28285</v>
      </c>
      <c r="F62" s="17" t="s">
        <v>124</v>
      </c>
    </row>
    <row r="63" spans="2:22">
      <c r="B63" s="8">
        <v>780726</v>
      </c>
      <c r="C63" s="24" t="s">
        <v>126</v>
      </c>
      <c r="D63" s="2" t="s">
        <v>60</v>
      </c>
      <c r="E63" s="3">
        <v>24352</v>
      </c>
      <c r="F63" s="17" t="s">
        <v>127</v>
      </c>
    </row>
    <row r="64" spans="2:22" ht="15" customHeight="1">
      <c r="B64" s="8">
        <v>715044</v>
      </c>
      <c r="C64" s="24" t="s">
        <v>128</v>
      </c>
      <c r="D64" s="2" t="s">
        <v>57</v>
      </c>
      <c r="E64" s="3" t="s">
        <v>129</v>
      </c>
      <c r="F64" s="17" t="s">
        <v>130</v>
      </c>
      <c r="H64" s="69" t="s">
        <v>398</v>
      </c>
      <c r="I64" s="69"/>
      <c r="J64" s="69"/>
      <c r="K64" s="69"/>
      <c r="L64" s="69"/>
      <c r="M64" s="69"/>
      <c r="N64" s="69"/>
      <c r="O64" s="69"/>
      <c r="P64" s="69"/>
      <c r="Q64" s="69"/>
      <c r="R64" s="69"/>
    </row>
    <row r="65" spans="2:18" ht="15" customHeight="1">
      <c r="B65" s="8">
        <v>660239</v>
      </c>
      <c r="C65" s="24" t="s">
        <v>131</v>
      </c>
      <c r="D65" s="2" t="s">
        <v>57</v>
      </c>
      <c r="E65" s="3">
        <v>27587</v>
      </c>
      <c r="F65" s="17" t="s">
        <v>130</v>
      </c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</row>
    <row r="66" spans="2:18">
      <c r="B66" s="8">
        <v>767280</v>
      </c>
      <c r="C66" s="24" t="s">
        <v>132</v>
      </c>
      <c r="D66" s="2" t="s">
        <v>57</v>
      </c>
      <c r="E66" s="3">
        <v>27305</v>
      </c>
      <c r="F66" s="17" t="s">
        <v>133</v>
      </c>
    </row>
    <row r="67" spans="2:18" ht="15" customHeight="1">
      <c r="B67" s="8">
        <v>634320</v>
      </c>
      <c r="C67" s="24" t="s">
        <v>134</v>
      </c>
      <c r="D67" s="2" t="s">
        <v>82</v>
      </c>
      <c r="E67" s="3" t="s">
        <v>135</v>
      </c>
      <c r="F67" s="17" t="s">
        <v>133</v>
      </c>
      <c r="H67" s="68" t="s">
        <v>399</v>
      </c>
      <c r="I67" s="68"/>
      <c r="J67" s="68"/>
      <c r="K67" s="68"/>
      <c r="L67" s="68"/>
      <c r="M67" s="68"/>
      <c r="N67" s="68"/>
      <c r="O67" s="68"/>
      <c r="P67" s="68"/>
      <c r="Q67" s="68"/>
      <c r="R67" s="68"/>
    </row>
    <row r="68" spans="2:18" ht="15" customHeight="1">
      <c r="B68" s="8">
        <v>833590</v>
      </c>
      <c r="C68" s="24" t="s">
        <v>136</v>
      </c>
      <c r="D68" s="2" t="s">
        <v>57</v>
      </c>
      <c r="E68" s="3">
        <v>28160</v>
      </c>
      <c r="F68" s="17" t="s">
        <v>22</v>
      </c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</row>
    <row r="69" spans="2:18">
      <c r="B69" s="8">
        <v>675037</v>
      </c>
      <c r="C69" s="24" t="s">
        <v>137</v>
      </c>
      <c r="D69" s="2" t="s">
        <v>72</v>
      </c>
      <c r="E69" s="3">
        <v>27796</v>
      </c>
      <c r="F69" s="17" t="s">
        <v>22</v>
      </c>
    </row>
    <row r="70" spans="2:18">
      <c r="B70" s="8">
        <v>757786</v>
      </c>
      <c r="C70" s="24" t="s">
        <v>138</v>
      </c>
      <c r="D70" s="2" t="s">
        <v>82</v>
      </c>
      <c r="E70" s="3" t="s">
        <v>139</v>
      </c>
      <c r="F70" s="17">
        <v>35280</v>
      </c>
    </row>
    <row r="71" spans="2:18">
      <c r="B71" s="8">
        <v>762734</v>
      </c>
      <c r="C71" s="24" t="s">
        <v>140</v>
      </c>
      <c r="D71" s="2" t="s">
        <v>57</v>
      </c>
      <c r="E71" s="3" t="s">
        <v>141</v>
      </c>
      <c r="F71" s="17">
        <v>35379</v>
      </c>
    </row>
    <row r="72" spans="2:18">
      <c r="B72" s="8">
        <v>640992</v>
      </c>
      <c r="C72" s="24" t="s">
        <v>142</v>
      </c>
      <c r="D72" s="2" t="s">
        <v>82</v>
      </c>
      <c r="E72" s="3">
        <v>28621</v>
      </c>
      <c r="F72" s="17" t="s">
        <v>143</v>
      </c>
    </row>
    <row r="73" spans="2:18">
      <c r="B73" s="8">
        <v>677349</v>
      </c>
      <c r="C73" s="24" t="s">
        <v>144</v>
      </c>
      <c r="D73" s="2" t="s">
        <v>50</v>
      </c>
      <c r="E73" s="3" t="s">
        <v>145</v>
      </c>
      <c r="F73" s="17" t="s">
        <v>146</v>
      </c>
    </row>
    <row r="74" spans="2:18">
      <c r="B74" s="8">
        <v>644319</v>
      </c>
      <c r="C74" s="24" t="s">
        <v>147</v>
      </c>
      <c r="D74" s="2" t="s">
        <v>82</v>
      </c>
      <c r="E74" s="3" t="s">
        <v>148</v>
      </c>
      <c r="F74" s="17">
        <v>35836</v>
      </c>
    </row>
    <row r="75" spans="2:18">
      <c r="B75" s="8">
        <v>766049</v>
      </c>
      <c r="C75" s="24" t="s">
        <v>149</v>
      </c>
      <c r="D75" s="2" t="s">
        <v>72</v>
      </c>
      <c r="E75" s="3" t="s">
        <v>150</v>
      </c>
      <c r="F75" s="17" t="s">
        <v>151</v>
      </c>
    </row>
    <row r="76" spans="2:18">
      <c r="B76" s="8">
        <v>716703</v>
      </c>
      <c r="C76" s="24" t="s">
        <v>152</v>
      </c>
      <c r="D76" s="2" t="s">
        <v>50</v>
      </c>
      <c r="E76" s="3" t="s">
        <v>153</v>
      </c>
      <c r="F76" s="17" t="s">
        <v>154</v>
      </c>
    </row>
    <row r="77" spans="2:18">
      <c r="B77" s="8">
        <v>652603</v>
      </c>
      <c r="C77" s="24" t="s">
        <v>155</v>
      </c>
      <c r="D77" s="2" t="s">
        <v>79</v>
      </c>
      <c r="E77" s="3">
        <v>30722</v>
      </c>
      <c r="F77" s="17">
        <v>37317</v>
      </c>
    </row>
    <row r="78" spans="2:18">
      <c r="B78" s="8">
        <v>728401</v>
      </c>
      <c r="C78" s="24" t="s">
        <v>156</v>
      </c>
      <c r="D78" s="2" t="s">
        <v>82</v>
      </c>
      <c r="E78" s="3">
        <v>28287</v>
      </c>
      <c r="F78" s="17">
        <v>38239</v>
      </c>
    </row>
    <row r="79" spans="2:18">
      <c r="B79" s="8">
        <v>777036</v>
      </c>
      <c r="C79" s="24" t="s">
        <v>157</v>
      </c>
      <c r="D79" s="2" t="s">
        <v>57</v>
      </c>
      <c r="E79" s="3">
        <v>29894</v>
      </c>
      <c r="F79" s="17">
        <v>38355</v>
      </c>
    </row>
    <row r="80" spans="2:18">
      <c r="B80" s="8">
        <v>706249</v>
      </c>
      <c r="C80" s="24" t="s">
        <v>158</v>
      </c>
      <c r="D80" s="2" t="s">
        <v>60</v>
      </c>
      <c r="E80" s="3" t="s">
        <v>159</v>
      </c>
      <c r="F80" s="17" t="s">
        <v>160</v>
      </c>
    </row>
    <row r="81" spans="2:6">
      <c r="B81" s="8">
        <v>837626</v>
      </c>
      <c r="C81" s="24" t="s">
        <v>161</v>
      </c>
      <c r="D81" s="2" t="s">
        <v>57</v>
      </c>
      <c r="E81" s="3">
        <v>32786</v>
      </c>
      <c r="F81" s="17" t="s">
        <v>162</v>
      </c>
    </row>
    <row r="82" spans="2:6">
      <c r="B82" s="8">
        <v>745916</v>
      </c>
      <c r="C82" s="24" t="s">
        <v>163</v>
      </c>
      <c r="D82" s="2" t="s">
        <v>72</v>
      </c>
      <c r="E82" s="3" t="s">
        <v>164</v>
      </c>
      <c r="F82" s="17">
        <v>39147</v>
      </c>
    </row>
    <row r="83" spans="2:6">
      <c r="B83" s="8">
        <v>841887</v>
      </c>
      <c r="C83" s="24" t="s">
        <v>165</v>
      </c>
      <c r="D83" s="2" t="s">
        <v>82</v>
      </c>
      <c r="E83" s="3" t="s">
        <v>166</v>
      </c>
      <c r="F83" s="17">
        <v>39120</v>
      </c>
    </row>
    <row r="84" spans="2:6">
      <c r="B84" s="8">
        <v>753294</v>
      </c>
      <c r="C84" s="24" t="s">
        <v>167</v>
      </c>
      <c r="D84" s="2" t="s">
        <v>79</v>
      </c>
      <c r="E84" s="3">
        <v>33452</v>
      </c>
      <c r="F84" s="17" t="s">
        <v>168</v>
      </c>
    </row>
    <row r="85" spans="2:6">
      <c r="B85" s="8">
        <v>704786</v>
      </c>
      <c r="C85" s="24" t="s">
        <v>169</v>
      </c>
      <c r="D85" s="2" t="s">
        <v>50</v>
      </c>
      <c r="E85" s="3">
        <v>33512</v>
      </c>
      <c r="F85" s="17">
        <v>40003</v>
      </c>
    </row>
    <row r="86" spans="2:6">
      <c r="B86" s="8">
        <v>613639</v>
      </c>
      <c r="C86" s="24" t="s">
        <v>170</v>
      </c>
      <c r="D86" s="2" t="s">
        <v>79</v>
      </c>
      <c r="E86" s="3" t="s">
        <v>171</v>
      </c>
      <c r="F86" s="17">
        <v>40309</v>
      </c>
    </row>
    <row r="87" spans="2:6">
      <c r="B87" s="8">
        <v>650629</v>
      </c>
      <c r="C87" s="24" t="s">
        <v>172</v>
      </c>
      <c r="D87" s="2" t="s">
        <v>82</v>
      </c>
      <c r="E87" s="3">
        <v>25635</v>
      </c>
      <c r="F87" s="17">
        <v>40546</v>
      </c>
    </row>
    <row r="88" spans="2:6">
      <c r="B88" s="8">
        <v>768614</v>
      </c>
      <c r="C88" s="24" t="s">
        <v>173</v>
      </c>
      <c r="D88" s="2" t="s">
        <v>57</v>
      </c>
      <c r="E88" s="3" t="s">
        <v>174</v>
      </c>
      <c r="F88" s="17">
        <v>40850</v>
      </c>
    </row>
    <row r="89" spans="2:6">
      <c r="B89" s="8">
        <v>646103</v>
      </c>
      <c r="C89" s="24" t="s">
        <v>175</v>
      </c>
      <c r="D89" s="2" t="s">
        <v>79</v>
      </c>
      <c r="E89" s="3">
        <v>34375</v>
      </c>
      <c r="F89" s="17">
        <v>40910</v>
      </c>
    </row>
    <row r="90" spans="2:6">
      <c r="B90" s="8">
        <v>783761</v>
      </c>
      <c r="C90" s="24" t="s">
        <v>176</v>
      </c>
      <c r="D90" s="2" t="s">
        <v>60</v>
      </c>
      <c r="E90" s="3">
        <v>34371</v>
      </c>
      <c r="F90" s="17">
        <v>41277</v>
      </c>
    </row>
    <row r="91" spans="2:6">
      <c r="B91" s="8">
        <v>634821</v>
      </c>
      <c r="C91" s="24" t="s">
        <v>177</v>
      </c>
      <c r="D91" s="2" t="s">
        <v>72</v>
      </c>
      <c r="E91" s="3">
        <v>35551</v>
      </c>
      <c r="F91" s="17" t="s">
        <v>178</v>
      </c>
    </row>
    <row r="92" spans="2:6">
      <c r="B92" s="8">
        <v>614225</v>
      </c>
      <c r="C92" s="24" t="s">
        <v>179</v>
      </c>
      <c r="D92" s="2" t="s">
        <v>50</v>
      </c>
      <c r="E92" s="3" t="s">
        <v>180</v>
      </c>
      <c r="F92" s="17" t="s">
        <v>181</v>
      </c>
    </row>
    <row r="93" spans="2:6">
      <c r="B93" s="8">
        <v>795063</v>
      </c>
      <c r="C93" s="24" t="s">
        <v>182</v>
      </c>
      <c r="D93" s="2" t="s">
        <v>82</v>
      </c>
      <c r="E93" s="3" t="s">
        <v>183</v>
      </c>
      <c r="F93" s="17">
        <v>41823</v>
      </c>
    </row>
    <row r="94" spans="2:6">
      <c r="B94" s="8">
        <v>682789</v>
      </c>
      <c r="C94" s="24" t="s">
        <v>184</v>
      </c>
      <c r="D94" s="2" t="s">
        <v>82</v>
      </c>
      <c r="E94" s="3" t="s">
        <v>185</v>
      </c>
      <c r="F94" s="17">
        <v>41823</v>
      </c>
    </row>
    <row r="95" spans="2:6">
      <c r="B95" s="8">
        <v>768339</v>
      </c>
      <c r="C95" s="24" t="s">
        <v>186</v>
      </c>
      <c r="D95" s="2" t="s">
        <v>60</v>
      </c>
      <c r="E95" s="3" t="s">
        <v>187</v>
      </c>
      <c r="F95" s="17" t="s">
        <v>188</v>
      </c>
    </row>
    <row r="96" spans="2:6">
      <c r="B96" s="8">
        <v>652107</v>
      </c>
      <c r="C96" s="24" t="s">
        <v>189</v>
      </c>
      <c r="D96" s="2" t="s">
        <v>82</v>
      </c>
      <c r="E96" s="3" t="s">
        <v>190</v>
      </c>
      <c r="F96" s="17">
        <v>42011</v>
      </c>
    </row>
    <row r="97" spans="2:6">
      <c r="B97" s="8">
        <v>796808</v>
      </c>
      <c r="C97" s="24" t="s">
        <v>191</v>
      </c>
      <c r="D97" s="2" t="s">
        <v>72</v>
      </c>
      <c r="E97" s="3" t="s">
        <v>192</v>
      </c>
      <c r="F97" s="17" t="s">
        <v>193</v>
      </c>
    </row>
    <row r="98" spans="2:6">
      <c r="B98" s="8">
        <v>843427</v>
      </c>
      <c r="C98" s="24" t="s">
        <v>194</v>
      </c>
      <c r="D98" s="2" t="s">
        <v>57</v>
      </c>
      <c r="E98" s="3">
        <v>31818</v>
      </c>
      <c r="F98" s="17" t="s">
        <v>195</v>
      </c>
    </row>
    <row r="99" spans="2:6">
      <c r="B99" s="8">
        <v>816529</v>
      </c>
      <c r="C99" s="24" t="s">
        <v>196</v>
      </c>
      <c r="D99" s="2" t="s">
        <v>82</v>
      </c>
      <c r="E99" s="3">
        <v>36079</v>
      </c>
      <c r="F99" s="17" t="s">
        <v>197</v>
      </c>
    </row>
    <row r="100" spans="2:6">
      <c r="B100" s="8">
        <v>682857</v>
      </c>
      <c r="C100" s="24" t="s">
        <v>198</v>
      </c>
      <c r="D100" s="2" t="s">
        <v>82</v>
      </c>
      <c r="E100" s="3">
        <v>35925</v>
      </c>
      <c r="F100" s="17" t="s">
        <v>197</v>
      </c>
    </row>
    <row r="101" spans="2:6">
      <c r="B101" s="8">
        <v>738532</v>
      </c>
      <c r="C101" s="24" t="s">
        <v>199</v>
      </c>
      <c r="D101" s="2" t="s">
        <v>72</v>
      </c>
      <c r="E101" s="3">
        <v>36080</v>
      </c>
      <c r="F101" s="17">
        <v>42435</v>
      </c>
    </row>
    <row r="102" spans="2:6">
      <c r="B102" s="8">
        <v>726914</v>
      </c>
      <c r="C102" s="24" t="s">
        <v>200</v>
      </c>
      <c r="D102" s="2" t="s">
        <v>82</v>
      </c>
      <c r="E102" s="3">
        <v>35744</v>
      </c>
      <c r="F102" s="17">
        <v>42497</v>
      </c>
    </row>
    <row r="103" spans="2:6">
      <c r="B103" s="8">
        <v>817238</v>
      </c>
      <c r="C103" s="24" t="s">
        <v>201</v>
      </c>
      <c r="D103" s="2" t="s">
        <v>50</v>
      </c>
      <c r="E103" s="3" t="s">
        <v>202</v>
      </c>
      <c r="F103" s="17">
        <v>42716</v>
      </c>
    </row>
    <row r="104" spans="2:6">
      <c r="B104" s="8">
        <v>661311</v>
      </c>
      <c r="C104" s="24" t="s">
        <v>203</v>
      </c>
      <c r="D104" s="2" t="s">
        <v>50</v>
      </c>
      <c r="E104" s="3" t="s">
        <v>204</v>
      </c>
      <c r="F104" s="17" t="s">
        <v>205</v>
      </c>
    </row>
    <row r="105" spans="2:6">
      <c r="B105" s="8">
        <v>732891</v>
      </c>
      <c r="C105" s="24" t="s">
        <v>206</v>
      </c>
      <c r="D105" s="2" t="s">
        <v>60</v>
      </c>
      <c r="E105" s="3">
        <v>32541</v>
      </c>
      <c r="F105" s="17">
        <v>42772</v>
      </c>
    </row>
    <row r="106" spans="2:6">
      <c r="B106" s="8">
        <v>701071</v>
      </c>
      <c r="C106" s="24" t="s">
        <v>207</v>
      </c>
      <c r="D106" s="2" t="s">
        <v>72</v>
      </c>
      <c r="E106" s="3" t="s">
        <v>208</v>
      </c>
      <c r="F106" s="17">
        <v>42772</v>
      </c>
    </row>
    <row r="107" spans="2:6">
      <c r="B107" s="8">
        <v>634770</v>
      </c>
      <c r="C107" s="24" t="s">
        <v>209</v>
      </c>
      <c r="D107" s="2" t="s">
        <v>50</v>
      </c>
      <c r="E107" s="3">
        <v>23015</v>
      </c>
      <c r="F107" s="17" t="s">
        <v>210</v>
      </c>
    </row>
    <row r="108" spans="2:6">
      <c r="B108" s="8">
        <v>831093</v>
      </c>
      <c r="C108" s="24" t="s">
        <v>211</v>
      </c>
      <c r="D108" s="2" t="s">
        <v>50</v>
      </c>
      <c r="E108" s="3">
        <v>34886</v>
      </c>
      <c r="F108" s="17">
        <v>42778</v>
      </c>
    </row>
    <row r="109" spans="2:6">
      <c r="B109" s="8">
        <v>747420</v>
      </c>
      <c r="C109" s="24" t="s">
        <v>212</v>
      </c>
      <c r="D109" s="2" t="s">
        <v>57</v>
      </c>
      <c r="E109" s="3" t="s">
        <v>213</v>
      </c>
      <c r="F109" s="17">
        <v>43134</v>
      </c>
    </row>
    <row r="110" spans="2:6">
      <c r="B110" s="8">
        <v>662023</v>
      </c>
      <c r="C110" s="24" t="s">
        <v>214</v>
      </c>
      <c r="D110" s="2" t="s">
        <v>72</v>
      </c>
      <c r="E110" s="3" t="s">
        <v>215</v>
      </c>
      <c r="F110" s="17">
        <v>43134</v>
      </c>
    </row>
    <row r="111" spans="2:6">
      <c r="B111" s="8">
        <v>832824</v>
      </c>
      <c r="C111" s="24" t="s">
        <v>216</v>
      </c>
      <c r="D111" s="2" t="s">
        <v>57</v>
      </c>
      <c r="E111" s="3" t="s">
        <v>217</v>
      </c>
      <c r="F111" s="17" t="s">
        <v>218</v>
      </c>
    </row>
    <row r="112" spans="2:6">
      <c r="B112" s="8">
        <v>722642</v>
      </c>
      <c r="C112" s="24" t="s">
        <v>219</v>
      </c>
      <c r="D112" s="2" t="s">
        <v>79</v>
      </c>
      <c r="E112" s="3" t="s">
        <v>220</v>
      </c>
      <c r="F112" s="17">
        <v>43163</v>
      </c>
    </row>
    <row r="113" spans="2:6">
      <c r="B113" s="8">
        <v>624789</v>
      </c>
      <c r="C113" s="24" t="s">
        <v>221</v>
      </c>
      <c r="D113" s="2" t="s">
        <v>60</v>
      </c>
      <c r="E113" s="3">
        <v>29255</v>
      </c>
      <c r="F113" s="17">
        <v>43409</v>
      </c>
    </row>
    <row r="114" spans="2:6">
      <c r="B114" s="8">
        <v>810455</v>
      </c>
      <c r="C114" s="24" t="s">
        <v>222</v>
      </c>
      <c r="D114" s="2" t="s">
        <v>82</v>
      </c>
      <c r="E114" s="3">
        <v>36678</v>
      </c>
      <c r="F114" s="17" t="s">
        <v>223</v>
      </c>
    </row>
    <row r="115" spans="2:6">
      <c r="B115" s="8">
        <v>811265</v>
      </c>
      <c r="C115" s="24" t="s">
        <v>224</v>
      </c>
      <c r="D115" s="2" t="s">
        <v>50</v>
      </c>
      <c r="E115" s="3">
        <v>35190</v>
      </c>
      <c r="F115" s="17" t="s">
        <v>223</v>
      </c>
    </row>
    <row r="116" spans="2:6">
      <c r="B116" s="8">
        <v>725950</v>
      </c>
      <c r="C116" s="24" t="s">
        <v>225</v>
      </c>
      <c r="D116" s="2" t="s">
        <v>72</v>
      </c>
      <c r="E116" s="3">
        <v>36838</v>
      </c>
      <c r="F116" s="17">
        <v>43197</v>
      </c>
    </row>
    <row r="117" spans="2:6">
      <c r="B117" s="8">
        <v>787011</v>
      </c>
      <c r="C117" s="24" t="s">
        <v>226</v>
      </c>
      <c r="D117" s="2" t="s">
        <v>82</v>
      </c>
      <c r="E117" s="3">
        <v>37289</v>
      </c>
      <c r="F117" s="17" t="s">
        <v>227</v>
      </c>
    </row>
    <row r="118" spans="2:6">
      <c r="B118" s="8">
        <v>615996</v>
      </c>
      <c r="C118" s="24" t="s">
        <v>228</v>
      </c>
      <c r="D118" s="2" t="s">
        <v>57</v>
      </c>
      <c r="E118" s="3" t="s">
        <v>229</v>
      </c>
      <c r="F118" s="17" t="s">
        <v>227</v>
      </c>
    </row>
    <row r="119" spans="2:6">
      <c r="B119" s="8">
        <v>682515</v>
      </c>
      <c r="C119" s="24" t="s">
        <v>230</v>
      </c>
      <c r="D119" s="2" t="s">
        <v>60</v>
      </c>
      <c r="E119" s="3">
        <v>33604</v>
      </c>
      <c r="F119" s="17" t="s">
        <v>231</v>
      </c>
    </row>
    <row r="120" spans="2:6">
      <c r="B120" s="8">
        <v>704760</v>
      </c>
      <c r="C120" s="24" t="s">
        <v>232</v>
      </c>
      <c r="D120" s="2" t="s">
        <v>79</v>
      </c>
      <c r="E120" s="3" t="s">
        <v>233</v>
      </c>
      <c r="F120" s="17" t="s">
        <v>234</v>
      </c>
    </row>
    <row r="121" spans="2:6">
      <c r="B121" s="8">
        <v>847781</v>
      </c>
      <c r="C121" s="24" t="s">
        <v>235</v>
      </c>
      <c r="D121" s="2" t="s">
        <v>60</v>
      </c>
      <c r="E121" s="3">
        <v>34881</v>
      </c>
      <c r="F121" s="17">
        <v>43742</v>
      </c>
    </row>
    <row r="122" spans="2:6">
      <c r="B122" s="8">
        <v>696828</v>
      </c>
      <c r="C122" s="24" t="s">
        <v>236</v>
      </c>
      <c r="D122" s="2" t="s">
        <v>79</v>
      </c>
      <c r="E122" s="3">
        <v>36377</v>
      </c>
      <c r="F122" s="17" t="s">
        <v>237</v>
      </c>
    </row>
    <row r="123" spans="2:6">
      <c r="B123" s="8">
        <v>634517</v>
      </c>
      <c r="C123" s="24" t="s">
        <v>238</v>
      </c>
      <c r="D123" s="2" t="s">
        <v>50</v>
      </c>
      <c r="E123" s="3" t="s">
        <v>239</v>
      </c>
      <c r="F123" s="17">
        <v>43621</v>
      </c>
    </row>
    <row r="124" spans="2:6">
      <c r="B124" s="8">
        <v>742296</v>
      </c>
      <c r="C124" s="24" t="s">
        <v>240</v>
      </c>
      <c r="D124" s="2" t="s">
        <v>79</v>
      </c>
      <c r="E124" s="3">
        <v>36374</v>
      </c>
      <c r="F124" s="17">
        <v>43743</v>
      </c>
    </row>
    <row r="125" spans="2:6">
      <c r="B125" s="8">
        <v>802572</v>
      </c>
      <c r="C125" s="24" t="s">
        <v>241</v>
      </c>
      <c r="D125" s="2" t="s">
        <v>60</v>
      </c>
      <c r="E125" s="3" t="s">
        <v>242</v>
      </c>
      <c r="F125" s="17">
        <v>43654</v>
      </c>
    </row>
    <row r="126" spans="2:6">
      <c r="B126" s="8">
        <v>621423</v>
      </c>
      <c r="C126" s="24" t="s">
        <v>243</v>
      </c>
      <c r="D126" s="2" t="s">
        <v>50</v>
      </c>
      <c r="E126" s="3">
        <v>37173</v>
      </c>
      <c r="F126" s="17" t="s">
        <v>244</v>
      </c>
    </row>
    <row r="127" spans="2:6">
      <c r="B127" s="8">
        <v>763904</v>
      </c>
      <c r="C127" s="24" t="s">
        <v>245</v>
      </c>
      <c r="D127" s="2" t="s">
        <v>82</v>
      </c>
      <c r="E127" s="3" t="s">
        <v>246</v>
      </c>
      <c r="F127" s="17">
        <v>43922</v>
      </c>
    </row>
    <row r="128" spans="2:6">
      <c r="B128" s="8">
        <v>748868</v>
      </c>
      <c r="C128" s="24" t="s">
        <v>247</v>
      </c>
      <c r="D128" s="2" t="s">
        <v>79</v>
      </c>
      <c r="E128" s="3">
        <v>35467</v>
      </c>
      <c r="F128" s="17" t="s">
        <v>248</v>
      </c>
    </row>
    <row r="129" spans="2:6">
      <c r="B129" s="8">
        <v>681871</v>
      </c>
      <c r="C129" s="24" t="s">
        <v>249</v>
      </c>
      <c r="D129" s="2" t="s">
        <v>50</v>
      </c>
      <c r="E129" s="3" t="s">
        <v>250</v>
      </c>
      <c r="F129" s="17" t="s">
        <v>251</v>
      </c>
    </row>
    <row r="130" spans="2:6">
      <c r="B130" s="8">
        <v>632210</v>
      </c>
      <c r="C130" s="24" t="s">
        <v>252</v>
      </c>
      <c r="D130" s="2" t="s">
        <v>50</v>
      </c>
      <c r="E130" s="3">
        <v>35955</v>
      </c>
      <c r="F130" s="17" t="s">
        <v>251</v>
      </c>
    </row>
    <row r="131" spans="2:6">
      <c r="B131" s="8">
        <v>749547</v>
      </c>
      <c r="C131" s="24" t="s">
        <v>253</v>
      </c>
      <c r="D131" s="2" t="s">
        <v>60</v>
      </c>
      <c r="E131" s="3" t="s">
        <v>254</v>
      </c>
      <c r="F131" s="17" t="s">
        <v>42</v>
      </c>
    </row>
    <row r="132" spans="2:6">
      <c r="B132" s="8">
        <v>834708</v>
      </c>
      <c r="C132" s="24" t="s">
        <v>255</v>
      </c>
      <c r="D132" s="2" t="s">
        <v>72</v>
      </c>
      <c r="E132" s="3">
        <v>37073</v>
      </c>
      <c r="F132" s="17" t="s">
        <v>256</v>
      </c>
    </row>
    <row r="133" spans="2:6">
      <c r="B133" s="8">
        <v>817357</v>
      </c>
      <c r="C133" s="24" t="s">
        <v>257</v>
      </c>
      <c r="D133" s="2" t="s">
        <v>50</v>
      </c>
      <c r="E133" s="3" t="s">
        <v>258</v>
      </c>
      <c r="F133" s="17">
        <v>44015</v>
      </c>
    </row>
    <row r="134" spans="2:6">
      <c r="B134" s="8">
        <v>730799</v>
      </c>
      <c r="C134" s="24" t="s">
        <v>259</v>
      </c>
      <c r="D134" s="2" t="s">
        <v>82</v>
      </c>
      <c r="E134" s="3">
        <v>34827</v>
      </c>
      <c r="F134" s="17" t="s">
        <v>260</v>
      </c>
    </row>
    <row r="135" spans="2:6">
      <c r="B135" s="8">
        <v>693063</v>
      </c>
      <c r="C135" s="24" t="s">
        <v>261</v>
      </c>
      <c r="D135" s="2" t="s">
        <v>72</v>
      </c>
      <c r="E135" s="3">
        <v>37869</v>
      </c>
      <c r="F135" s="17" t="s">
        <v>262</v>
      </c>
    </row>
    <row r="136" spans="2:6">
      <c r="B136" s="8">
        <v>634332</v>
      </c>
      <c r="C136" s="24" t="s">
        <v>263</v>
      </c>
      <c r="D136" s="2" t="s">
        <v>50</v>
      </c>
      <c r="E136" s="3">
        <v>37865</v>
      </c>
      <c r="F136" s="17" t="s">
        <v>264</v>
      </c>
    </row>
    <row r="137" spans="2:6">
      <c r="B137" s="8">
        <v>778171</v>
      </c>
      <c r="C137" s="24" t="s">
        <v>265</v>
      </c>
      <c r="D137" s="2" t="s">
        <v>57</v>
      </c>
      <c r="E137" s="3" t="s">
        <v>266</v>
      </c>
      <c r="F137" s="17" t="s">
        <v>267</v>
      </c>
    </row>
    <row r="138" spans="2:6">
      <c r="B138" s="8">
        <v>651333</v>
      </c>
      <c r="C138" s="24" t="s">
        <v>268</v>
      </c>
      <c r="D138" s="2" t="s">
        <v>79</v>
      </c>
      <c r="E138" s="3" t="s">
        <v>269</v>
      </c>
      <c r="F138" s="17">
        <v>44202</v>
      </c>
    </row>
    <row r="139" spans="2:6">
      <c r="B139" s="8">
        <v>667971</v>
      </c>
      <c r="C139" s="24" t="s">
        <v>270</v>
      </c>
      <c r="D139" s="2" t="s">
        <v>82</v>
      </c>
      <c r="E139" s="3">
        <v>28710</v>
      </c>
      <c r="F139" s="17">
        <v>44203</v>
      </c>
    </row>
    <row r="140" spans="2:6">
      <c r="B140" s="8">
        <v>837894</v>
      </c>
      <c r="C140" s="24" t="s">
        <v>271</v>
      </c>
      <c r="D140" s="2" t="s">
        <v>57</v>
      </c>
      <c r="E140" s="3" t="s">
        <v>272</v>
      </c>
      <c r="F140" s="17" t="s">
        <v>273</v>
      </c>
    </row>
    <row r="141" spans="2:6">
      <c r="B141" s="8">
        <v>716958</v>
      </c>
      <c r="C141" s="24" t="s">
        <v>274</v>
      </c>
      <c r="D141" s="2" t="s">
        <v>82</v>
      </c>
      <c r="E141" s="3" t="s">
        <v>275</v>
      </c>
      <c r="F141" s="17" t="s">
        <v>276</v>
      </c>
    </row>
    <row r="142" spans="2:6">
      <c r="B142" s="8">
        <v>747513</v>
      </c>
      <c r="C142" s="24" t="s">
        <v>277</v>
      </c>
      <c r="D142" s="2" t="s">
        <v>50</v>
      </c>
      <c r="E142" s="3">
        <v>26880</v>
      </c>
      <c r="F142" s="17" t="s">
        <v>278</v>
      </c>
    </row>
    <row r="143" spans="2:6">
      <c r="B143" s="8">
        <v>736335</v>
      </c>
      <c r="C143" s="24" t="s">
        <v>279</v>
      </c>
      <c r="D143" s="2" t="s">
        <v>50</v>
      </c>
      <c r="E143" s="3">
        <v>37655</v>
      </c>
      <c r="F143" s="17" t="s">
        <v>280</v>
      </c>
    </row>
    <row r="144" spans="2:6">
      <c r="B144" s="8">
        <v>796788</v>
      </c>
      <c r="C144" s="24" t="s">
        <v>281</v>
      </c>
      <c r="D144" s="2" t="s">
        <v>50</v>
      </c>
      <c r="E144" s="3" t="s">
        <v>282</v>
      </c>
      <c r="F144" s="17">
        <v>44512</v>
      </c>
    </row>
    <row r="145" spans="2:6">
      <c r="B145" s="8">
        <v>637345</v>
      </c>
      <c r="C145" s="24" t="s">
        <v>283</v>
      </c>
      <c r="D145" s="2" t="s">
        <v>79</v>
      </c>
      <c r="E145" s="3" t="s">
        <v>284</v>
      </c>
      <c r="F145" s="17" t="s">
        <v>285</v>
      </c>
    </row>
    <row r="146" spans="2:6">
      <c r="B146" s="8">
        <v>760692</v>
      </c>
      <c r="C146" s="24" t="s">
        <v>286</v>
      </c>
      <c r="D146" s="2" t="s">
        <v>60</v>
      </c>
      <c r="E146" s="3">
        <v>38271</v>
      </c>
      <c r="F146" s="17">
        <v>44715</v>
      </c>
    </row>
    <row r="147" spans="2:6">
      <c r="B147" s="8">
        <v>778839</v>
      </c>
      <c r="C147" s="24" t="s">
        <v>287</v>
      </c>
      <c r="D147" s="2" t="s">
        <v>57</v>
      </c>
      <c r="E147" s="3">
        <v>37780</v>
      </c>
      <c r="F147" s="17">
        <v>44715</v>
      </c>
    </row>
    <row r="148" spans="2:6">
      <c r="B148" s="8">
        <v>616908</v>
      </c>
      <c r="C148" s="24" t="s">
        <v>288</v>
      </c>
      <c r="D148" s="2" t="s">
        <v>72</v>
      </c>
      <c r="E148" s="3" t="s">
        <v>289</v>
      </c>
      <c r="F148" s="17">
        <v>44715</v>
      </c>
    </row>
    <row r="149" spans="2:6">
      <c r="B149" s="8">
        <v>634844</v>
      </c>
      <c r="C149" s="24" t="s">
        <v>290</v>
      </c>
      <c r="D149" s="2" t="s">
        <v>50</v>
      </c>
      <c r="E149" s="3">
        <v>38322</v>
      </c>
      <c r="F149" s="17">
        <v>44715</v>
      </c>
    </row>
    <row r="150" spans="2:6">
      <c r="B150" s="8">
        <v>772907</v>
      </c>
      <c r="C150" s="24" t="s">
        <v>291</v>
      </c>
      <c r="D150" s="2" t="s">
        <v>79</v>
      </c>
      <c r="E150" s="3" t="s">
        <v>292</v>
      </c>
      <c r="F150" s="17" t="s">
        <v>293</v>
      </c>
    </row>
    <row r="151" spans="2:6">
      <c r="B151" s="8">
        <v>724515</v>
      </c>
      <c r="C151" s="24" t="s">
        <v>294</v>
      </c>
      <c r="D151" s="2" t="s">
        <v>82</v>
      </c>
      <c r="E151" s="3">
        <v>37753</v>
      </c>
      <c r="F151" s="17" t="s">
        <v>293</v>
      </c>
    </row>
    <row r="152" spans="2:6">
      <c r="B152" s="8">
        <v>763589</v>
      </c>
      <c r="C152" s="24" t="s">
        <v>295</v>
      </c>
      <c r="D152" s="2" t="s">
        <v>57</v>
      </c>
      <c r="E152" s="3" t="s">
        <v>296</v>
      </c>
      <c r="F152" s="17" t="s">
        <v>293</v>
      </c>
    </row>
    <row r="153" spans="2:6">
      <c r="B153" s="8">
        <v>658864</v>
      </c>
      <c r="C153" s="24" t="s">
        <v>297</v>
      </c>
      <c r="D153" s="2" t="s">
        <v>57</v>
      </c>
      <c r="E153" s="3" t="s">
        <v>298</v>
      </c>
      <c r="F153" s="17" t="s">
        <v>293</v>
      </c>
    </row>
    <row r="154" spans="2:6">
      <c r="B154" s="8">
        <v>729275</v>
      </c>
      <c r="C154" s="24" t="s">
        <v>299</v>
      </c>
      <c r="D154" s="2" t="s">
        <v>57</v>
      </c>
      <c r="E154" s="3">
        <v>37107</v>
      </c>
      <c r="F154" s="17">
        <v>44778</v>
      </c>
    </row>
    <row r="155" spans="2:6">
      <c r="B155" s="8">
        <v>647100</v>
      </c>
      <c r="C155" s="24" t="s">
        <v>300</v>
      </c>
      <c r="D155" s="2" t="s">
        <v>57</v>
      </c>
      <c r="E155" s="3" t="s">
        <v>301</v>
      </c>
      <c r="F155" s="17" t="s">
        <v>302</v>
      </c>
    </row>
    <row r="156" spans="2:6">
      <c r="B156" s="8">
        <v>822775</v>
      </c>
      <c r="C156" s="24" t="s">
        <v>303</v>
      </c>
      <c r="D156" s="2" t="s">
        <v>50</v>
      </c>
      <c r="E156" s="3" t="s">
        <v>304</v>
      </c>
      <c r="F156" s="17" t="s">
        <v>305</v>
      </c>
    </row>
    <row r="157" spans="2:6">
      <c r="B157" s="8">
        <v>742179</v>
      </c>
      <c r="C157" s="24" t="s">
        <v>306</v>
      </c>
      <c r="D157" s="2" t="s">
        <v>79</v>
      </c>
      <c r="E157" s="3" t="s">
        <v>307</v>
      </c>
      <c r="F157" s="17">
        <v>44568</v>
      </c>
    </row>
    <row r="158" spans="2:6">
      <c r="B158" s="8">
        <v>654559</v>
      </c>
      <c r="C158" s="24" t="s">
        <v>308</v>
      </c>
      <c r="D158" s="2" t="s">
        <v>57</v>
      </c>
      <c r="E158" s="3" t="s">
        <v>309</v>
      </c>
      <c r="F158" s="17" t="s">
        <v>310</v>
      </c>
    </row>
    <row r="159" spans="2:6">
      <c r="B159" s="8">
        <v>849457</v>
      </c>
      <c r="C159" s="24" t="s">
        <v>311</v>
      </c>
      <c r="D159" s="2" t="s">
        <v>79</v>
      </c>
      <c r="E159" s="3" t="s">
        <v>312</v>
      </c>
      <c r="F159" s="17" t="s">
        <v>313</v>
      </c>
    </row>
    <row r="160" spans="2:6">
      <c r="B160" s="8">
        <v>771779</v>
      </c>
      <c r="C160" s="24" t="s">
        <v>314</v>
      </c>
      <c r="D160" s="2" t="s">
        <v>82</v>
      </c>
      <c r="E160" s="3" t="s">
        <v>133</v>
      </c>
      <c r="F160" s="17" t="s">
        <v>315</v>
      </c>
    </row>
    <row r="161" spans="2:6">
      <c r="B161" s="8">
        <v>804242</v>
      </c>
      <c r="C161" s="24" t="s">
        <v>316</v>
      </c>
      <c r="D161" s="2" t="s">
        <v>82</v>
      </c>
      <c r="E161" s="3">
        <v>37478</v>
      </c>
      <c r="F161" s="17">
        <v>44752</v>
      </c>
    </row>
    <row r="162" spans="2:6">
      <c r="B162" s="8">
        <v>750616</v>
      </c>
      <c r="C162" s="24" t="s">
        <v>317</v>
      </c>
      <c r="D162" s="2" t="s">
        <v>60</v>
      </c>
      <c r="E162" s="3" t="s">
        <v>318</v>
      </c>
      <c r="F162" s="17">
        <v>44573</v>
      </c>
    </row>
    <row r="163" spans="2:6">
      <c r="B163" s="8">
        <v>812452</v>
      </c>
      <c r="C163" s="24" t="s">
        <v>319</v>
      </c>
      <c r="D163" s="2" t="s">
        <v>50</v>
      </c>
      <c r="E163" s="3" t="s">
        <v>320</v>
      </c>
      <c r="F163" s="17" t="s">
        <v>321</v>
      </c>
    </row>
    <row r="164" spans="2:6">
      <c r="B164" s="8">
        <v>831582</v>
      </c>
      <c r="C164" s="24" t="s">
        <v>322</v>
      </c>
      <c r="D164" s="2" t="s">
        <v>57</v>
      </c>
      <c r="E164" s="3">
        <v>19725</v>
      </c>
      <c r="F164" s="17" t="s">
        <v>323</v>
      </c>
    </row>
    <row r="165" spans="2:6">
      <c r="B165" s="8">
        <v>673556</v>
      </c>
      <c r="C165" s="24" t="s">
        <v>324</v>
      </c>
      <c r="D165" s="2" t="s">
        <v>50</v>
      </c>
      <c r="E165" s="3" t="s">
        <v>325</v>
      </c>
      <c r="F165" s="17" t="s">
        <v>326</v>
      </c>
    </row>
    <row r="166" spans="2:6">
      <c r="B166" s="8">
        <v>674968</v>
      </c>
      <c r="C166" s="24" t="s">
        <v>327</v>
      </c>
      <c r="D166" s="2" t="s">
        <v>60</v>
      </c>
      <c r="E166" s="3" t="s">
        <v>328</v>
      </c>
      <c r="F166" s="17" t="s">
        <v>329</v>
      </c>
    </row>
    <row r="167" spans="2:6">
      <c r="B167" s="8">
        <v>686386</v>
      </c>
      <c r="C167" s="24" t="s">
        <v>330</v>
      </c>
      <c r="D167" s="2" t="s">
        <v>72</v>
      </c>
      <c r="E167" s="3">
        <v>38626</v>
      </c>
      <c r="F167" s="17" t="s">
        <v>331</v>
      </c>
    </row>
    <row r="168" spans="2:6">
      <c r="B168" s="8">
        <v>682990</v>
      </c>
      <c r="C168" s="24" t="s">
        <v>332</v>
      </c>
      <c r="D168" s="2" t="s">
        <v>79</v>
      </c>
      <c r="E168" s="3" t="s">
        <v>333</v>
      </c>
      <c r="F168" s="17" t="s">
        <v>331</v>
      </c>
    </row>
    <row r="169" spans="2:6">
      <c r="B169" s="8">
        <v>726397</v>
      </c>
      <c r="C169" s="24" t="s">
        <v>334</v>
      </c>
      <c r="D169" s="2" t="s">
        <v>72</v>
      </c>
      <c r="E169" s="3">
        <v>38300</v>
      </c>
      <c r="F169" s="17" t="s">
        <v>331</v>
      </c>
    </row>
    <row r="170" spans="2:6">
      <c r="B170" s="8">
        <v>732402</v>
      </c>
      <c r="C170" s="24" t="s">
        <v>335</v>
      </c>
      <c r="D170" s="2" t="s">
        <v>60</v>
      </c>
      <c r="E170" s="3" t="s">
        <v>336</v>
      </c>
      <c r="F170" s="17">
        <v>45202</v>
      </c>
    </row>
    <row r="171" spans="2:6">
      <c r="B171" s="8">
        <v>636730</v>
      </c>
      <c r="C171" s="24" t="s">
        <v>337</v>
      </c>
      <c r="D171" s="2" t="s">
        <v>82</v>
      </c>
      <c r="E171" s="3" t="s">
        <v>338</v>
      </c>
      <c r="F171" s="17" t="s">
        <v>339</v>
      </c>
    </row>
    <row r="172" spans="2:6">
      <c r="B172" s="8">
        <v>818442</v>
      </c>
      <c r="C172" s="24" t="s">
        <v>340</v>
      </c>
      <c r="D172" s="2" t="s">
        <v>82</v>
      </c>
      <c r="E172" s="3">
        <v>38021</v>
      </c>
      <c r="F172" s="17" t="s">
        <v>341</v>
      </c>
    </row>
    <row r="173" spans="2:6">
      <c r="B173" s="8">
        <v>634539</v>
      </c>
      <c r="C173" s="24" t="s">
        <v>342</v>
      </c>
      <c r="D173" s="2" t="s">
        <v>343</v>
      </c>
      <c r="E173" s="3" t="s">
        <v>344</v>
      </c>
      <c r="F173" s="17" t="s">
        <v>345</v>
      </c>
    </row>
    <row r="174" spans="2:6">
      <c r="B174" s="8">
        <v>663573</v>
      </c>
      <c r="C174" s="24" t="s">
        <v>346</v>
      </c>
      <c r="D174" s="2" t="s">
        <v>72</v>
      </c>
      <c r="E174" s="3" t="s">
        <v>347</v>
      </c>
      <c r="F174" s="17" t="s">
        <v>348</v>
      </c>
    </row>
    <row r="175" spans="2:6">
      <c r="B175" s="8">
        <v>761270</v>
      </c>
      <c r="C175" s="24" t="s">
        <v>349</v>
      </c>
      <c r="D175" s="2" t="s">
        <v>72</v>
      </c>
      <c r="E175" s="3">
        <v>25941</v>
      </c>
      <c r="F175" s="17" t="s">
        <v>350</v>
      </c>
    </row>
    <row r="176" spans="2:6">
      <c r="B176" s="8">
        <v>625932</v>
      </c>
      <c r="C176" s="24" t="s">
        <v>351</v>
      </c>
      <c r="D176" s="2" t="s">
        <v>57</v>
      </c>
      <c r="E176" s="3" t="s">
        <v>352</v>
      </c>
      <c r="F176" s="17" t="s">
        <v>350</v>
      </c>
    </row>
    <row r="177" spans="2:6">
      <c r="B177" s="8">
        <v>846932</v>
      </c>
      <c r="C177" s="24" t="s">
        <v>353</v>
      </c>
      <c r="D177" s="2" t="s">
        <v>60</v>
      </c>
      <c r="E177" s="3" t="s">
        <v>354</v>
      </c>
      <c r="F177" s="17" t="s">
        <v>355</v>
      </c>
    </row>
    <row r="178" spans="2:6">
      <c r="B178" s="8">
        <v>721677</v>
      </c>
      <c r="C178" s="24" t="s">
        <v>356</v>
      </c>
      <c r="D178" s="2" t="s">
        <v>343</v>
      </c>
      <c r="E178" s="3" t="s">
        <v>357</v>
      </c>
      <c r="F178" s="17" t="s">
        <v>358</v>
      </c>
    </row>
    <row r="179" spans="2:6">
      <c r="B179" s="8">
        <v>631456</v>
      </c>
      <c r="C179" s="24" t="s">
        <v>359</v>
      </c>
      <c r="D179" s="2" t="s">
        <v>50</v>
      </c>
      <c r="E179" s="3" t="s">
        <v>360</v>
      </c>
      <c r="F179" s="17" t="s">
        <v>361</v>
      </c>
    </row>
    <row r="180" spans="2:6">
      <c r="B180" s="8">
        <v>704181</v>
      </c>
      <c r="C180" s="24" t="s">
        <v>362</v>
      </c>
      <c r="D180" s="2" t="s">
        <v>343</v>
      </c>
      <c r="E180" s="3" t="s">
        <v>363</v>
      </c>
      <c r="F180" s="17" t="s">
        <v>364</v>
      </c>
    </row>
    <row r="181" spans="2:6">
      <c r="B181" s="8">
        <v>685127</v>
      </c>
      <c r="C181" s="24" t="s">
        <v>365</v>
      </c>
      <c r="D181" s="2" t="s">
        <v>72</v>
      </c>
      <c r="E181" s="3">
        <v>27768</v>
      </c>
      <c r="F181" s="17">
        <v>45084</v>
      </c>
    </row>
    <row r="182" spans="2:6">
      <c r="B182" s="8">
        <v>849364</v>
      </c>
      <c r="C182" s="24" t="s">
        <v>366</v>
      </c>
      <c r="D182" s="2" t="s">
        <v>343</v>
      </c>
      <c r="E182" s="3">
        <v>34827</v>
      </c>
      <c r="F182" s="17" t="s">
        <v>367</v>
      </c>
    </row>
    <row r="183" spans="2:6">
      <c r="B183" s="8">
        <v>713656</v>
      </c>
      <c r="C183" s="24" t="s">
        <v>368</v>
      </c>
      <c r="D183" s="2" t="s">
        <v>343</v>
      </c>
      <c r="E183" s="3">
        <v>38537</v>
      </c>
      <c r="F183" s="17" t="s">
        <v>369</v>
      </c>
    </row>
    <row r="184" spans="2:6">
      <c r="B184" s="8">
        <v>633738</v>
      </c>
      <c r="C184" s="24" t="s">
        <v>370</v>
      </c>
      <c r="D184" s="2" t="s">
        <v>60</v>
      </c>
      <c r="E184" s="3" t="s">
        <v>371</v>
      </c>
      <c r="F184" s="17" t="s">
        <v>372</v>
      </c>
    </row>
    <row r="185" spans="2:6">
      <c r="B185" s="8">
        <v>686672</v>
      </c>
      <c r="C185" s="24" t="s">
        <v>373</v>
      </c>
      <c r="D185" s="2" t="s">
        <v>79</v>
      </c>
      <c r="E185" s="3" t="s">
        <v>374</v>
      </c>
      <c r="F185" s="17" t="s">
        <v>375</v>
      </c>
    </row>
    <row r="186" spans="2:6">
      <c r="B186" s="8">
        <v>682136</v>
      </c>
      <c r="C186" s="24" t="s">
        <v>376</v>
      </c>
      <c r="D186" s="2" t="s">
        <v>72</v>
      </c>
      <c r="E186" s="3">
        <v>21193</v>
      </c>
      <c r="F186" s="17">
        <v>44967</v>
      </c>
    </row>
    <row r="187" spans="2:6">
      <c r="B187" s="12">
        <v>705052</v>
      </c>
      <c r="C187" s="25" t="s">
        <v>377</v>
      </c>
      <c r="D187" s="13" t="s">
        <v>72</v>
      </c>
      <c r="E187" s="14" t="s">
        <v>378</v>
      </c>
      <c r="F187" s="21" t="s">
        <v>379</v>
      </c>
    </row>
  </sheetData>
  <mergeCells count="159">
    <mergeCell ref="H67:R68"/>
    <mergeCell ref="H64:R65"/>
    <mergeCell ref="H5:H6"/>
    <mergeCell ref="I5:M6"/>
    <mergeCell ref="I7:M7"/>
    <mergeCell ref="I8:M8"/>
    <mergeCell ref="B1:F2"/>
    <mergeCell ref="H14:H15"/>
    <mergeCell ref="I14:N15"/>
    <mergeCell ref="I17:L17"/>
    <mergeCell ref="M17:N17"/>
    <mergeCell ref="I18:L18"/>
    <mergeCell ref="M18:N18"/>
    <mergeCell ref="I9:M9"/>
    <mergeCell ref="I10:M10"/>
    <mergeCell ref="I11:M11"/>
    <mergeCell ref="I12:M12"/>
    <mergeCell ref="I16:L16"/>
    <mergeCell ref="M16:N16"/>
    <mergeCell ref="H29:H30"/>
    <mergeCell ref="I29:N30"/>
    <mergeCell ref="I22:L22"/>
    <mergeCell ref="M22:N22"/>
    <mergeCell ref="I23:L23"/>
    <mergeCell ref="M23:N23"/>
    <mergeCell ref="I24:L24"/>
    <mergeCell ref="M24:N24"/>
    <mergeCell ref="I19:L19"/>
    <mergeCell ref="M19:N19"/>
    <mergeCell ref="I20:L20"/>
    <mergeCell ref="M20:N20"/>
    <mergeCell ref="I21:L21"/>
    <mergeCell ref="M21:N21"/>
    <mergeCell ref="P14:P15"/>
    <mergeCell ref="Q14:V15"/>
    <mergeCell ref="Q16:T16"/>
    <mergeCell ref="U16:V16"/>
    <mergeCell ref="Q17:T17"/>
    <mergeCell ref="U17:V17"/>
    <mergeCell ref="I37:L37"/>
    <mergeCell ref="M37:N37"/>
    <mergeCell ref="I38:L38"/>
    <mergeCell ref="M38:N38"/>
    <mergeCell ref="I34:L34"/>
    <mergeCell ref="M34:N34"/>
    <mergeCell ref="I35:L35"/>
    <mergeCell ref="M35:N35"/>
    <mergeCell ref="I36:L36"/>
    <mergeCell ref="M36:N36"/>
    <mergeCell ref="I31:L31"/>
    <mergeCell ref="M31:N31"/>
    <mergeCell ref="I32:L32"/>
    <mergeCell ref="M32:N32"/>
    <mergeCell ref="I33:L33"/>
    <mergeCell ref="M33:N33"/>
    <mergeCell ref="I25:L25"/>
    <mergeCell ref="M25:N25"/>
    <mergeCell ref="Q18:T18"/>
    <mergeCell ref="U18:V18"/>
    <mergeCell ref="Q19:T19"/>
    <mergeCell ref="U19:V19"/>
    <mergeCell ref="Q20:T20"/>
    <mergeCell ref="U20:V20"/>
    <mergeCell ref="I40:L40"/>
    <mergeCell ref="M40:N40"/>
    <mergeCell ref="I41:L41"/>
    <mergeCell ref="M41:N41"/>
    <mergeCell ref="I39:L39"/>
    <mergeCell ref="M39:N39"/>
    <mergeCell ref="I26:L26"/>
    <mergeCell ref="M26:N26"/>
    <mergeCell ref="Q24:T24"/>
    <mergeCell ref="U24:V24"/>
    <mergeCell ref="Q25:T25"/>
    <mergeCell ref="U25:V25"/>
    <mergeCell ref="Q26:T26"/>
    <mergeCell ref="U26:V26"/>
    <mergeCell ref="Q21:T21"/>
    <mergeCell ref="U21:V21"/>
    <mergeCell ref="Q22:T22"/>
    <mergeCell ref="U22:V22"/>
    <mergeCell ref="Q23:T23"/>
    <mergeCell ref="U23:V23"/>
    <mergeCell ref="Q33:T33"/>
    <mergeCell ref="U33:V33"/>
    <mergeCell ref="Q34:T34"/>
    <mergeCell ref="U34:V34"/>
    <mergeCell ref="Q35:T35"/>
    <mergeCell ref="U35:V35"/>
    <mergeCell ref="P29:P30"/>
    <mergeCell ref="Q29:V30"/>
    <mergeCell ref="Q31:T31"/>
    <mergeCell ref="U31:V31"/>
    <mergeCell ref="Q32:T32"/>
    <mergeCell ref="U32:V32"/>
    <mergeCell ref="Q39:T39"/>
    <mergeCell ref="U39:V39"/>
    <mergeCell ref="Q40:T40"/>
    <mergeCell ref="U40:V40"/>
    <mergeCell ref="Q41:T41"/>
    <mergeCell ref="U41:V41"/>
    <mergeCell ref="Q36:T36"/>
    <mergeCell ref="U36:V36"/>
    <mergeCell ref="Q37:T37"/>
    <mergeCell ref="U37:V37"/>
    <mergeCell ref="Q38:T38"/>
    <mergeCell ref="U38:V38"/>
    <mergeCell ref="I48:L48"/>
    <mergeCell ref="M48:N48"/>
    <mergeCell ref="I49:L49"/>
    <mergeCell ref="M49:N49"/>
    <mergeCell ref="I50:L50"/>
    <mergeCell ref="M50:N50"/>
    <mergeCell ref="H44:H45"/>
    <mergeCell ref="I46:L46"/>
    <mergeCell ref="M46:N46"/>
    <mergeCell ref="I47:L47"/>
    <mergeCell ref="M47:N47"/>
    <mergeCell ref="I44:L45"/>
    <mergeCell ref="M44:N44"/>
    <mergeCell ref="M45:N45"/>
    <mergeCell ref="I54:L54"/>
    <mergeCell ref="M54:N54"/>
    <mergeCell ref="I55:L55"/>
    <mergeCell ref="M55:N55"/>
    <mergeCell ref="I56:L56"/>
    <mergeCell ref="M56:N56"/>
    <mergeCell ref="I51:L51"/>
    <mergeCell ref="M51:N51"/>
    <mergeCell ref="I52:L52"/>
    <mergeCell ref="M52:N52"/>
    <mergeCell ref="I53:L53"/>
    <mergeCell ref="M53:N53"/>
    <mergeCell ref="Q48:T48"/>
    <mergeCell ref="U48:V48"/>
    <mergeCell ref="Q49:T49"/>
    <mergeCell ref="U49:V49"/>
    <mergeCell ref="Q50:T50"/>
    <mergeCell ref="U50:V50"/>
    <mergeCell ref="P44:P45"/>
    <mergeCell ref="Q46:T46"/>
    <mergeCell ref="U46:V46"/>
    <mergeCell ref="Q47:T47"/>
    <mergeCell ref="U47:V47"/>
    <mergeCell ref="Q44:T45"/>
    <mergeCell ref="U44:V44"/>
    <mergeCell ref="U45:V45"/>
    <mergeCell ref="Q54:T54"/>
    <mergeCell ref="U54:V54"/>
    <mergeCell ref="Q55:T55"/>
    <mergeCell ref="U55:V55"/>
    <mergeCell ref="Q56:T56"/>
    <mergeCell ref="U56:V56"/>
    <mergeCell ref="Q51:T51"/>
    <mergeCell ref="U51:V51"/>
    <mergeCell ref="Q52:T52"/>
    <mergeCell ref="U52:V52"/>
    <mergeCell ref="Q53:T53"/>
    <mergeCell ref="U53:V53"/>
  </mergeCells>
  <pageMargins left="0.7" right="0.7" top="0.75" bottom="0.75" header="0.3" footer="0.3"/>
  <pageSetup orientation="portrait" r:id="rId1"/>
  <ignoredErrors>
    <ignoredError sqref="M20" 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2026-01-05T05:39:28Z</dcterms:created>
  <dcterms:modified xsi:type="dcterms:W3CDTF">2026-02-13T12:17:48Z</dcterms:modified>
</cp:coreProperties>
</file>