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tical_Exact_match" sheetId="1" r:id="rId4"/>
    <sheet state="visible" name="Vertical_Approx_match" sheetId="2" r:id="rId5"/>
    <sheet state="visible" name="H_Lookup" sheetId="3" r:id="rId6"/>
  </sheets>
  <definedNames/>
  <calcPr/>
  <extLst>
    <ext uri="GoogleSheetsCustomDataVersion2">
      <go:sheetsCustomData xmlns:go="http://customooxmlschemas.google.com/" r:id="rId7" roundtripDataChecksum="YICT22w4Ruvb31t0ZdMw9ISx0W8+u+7k3qnsGZQt1YM="/>
    </ext>
  </extLst>
</workbook>
</file>

<file path=xl/sharedStrings.xml><?xml version="1.0" encoding="utf-8"?>
<sst xmlns="http://schemas.openxmlformats.org/spreadsheetml/2006/main" count="69" uniqueCount="31">
  <si>
    <t>No</t>
  </si>
  <si>
    <t>Name</t>
  </si>
  <si>
    <t>Age</t>
  </si>
  <si>
    <t>Maths</t>
  </si>
  <si>
    <t>Science</t>
  </si>
  <si>
    <t>English</t>
  </si>
  <si>
    <t>mayur</t>
  </si>
  <si>
    <t>rohan</t>
  </si>
  <si>
    <t>Krunal</t>
  </si>
  <si>
    <t>rajkahar</t>
  </si>
  <si>
    <t>suraj</t>
  </si>
  <si>
    <t>INPUT :</t>
  </si>
  <si>
    <t xml:space="preserve">OutPUT : </t>
  </si>
  <si>
    <t>ID</t>
  </si>
  <si>
    <t>product</t>
  </si>
  <si>
    <t>price</t>
  </si>
  <si>
    <t>laptop</t>
  </si>
  <si>
    <t>Ac</t>
  </si>
  <si>
    <t>tv</t>
  </si>
  <si>
    <t>watch</t>
  </si>
  <si>
    <t xml:space="preserve">smartphone </t>
  </si>
  <si>
    <t>headphone</t>
  </si>
  <si>
    <t>PRECEDING</t>
  </si>
  <si>
    <t>Month</t>
  </si>
  <si>
    <t>Jan</t>
  </si>
  <si>
    <t>Feb</t>
  </si>
  <si>
    <t>Mar</t>
  </si>
  <si>
    <t>Sales</t>
  </si>
  <si>
    <t>Profit</t>
  </si>
  <si>
    <t>Find Sales of Feb</t>
  </si>
  <si>
    <t>Find Profit of 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</si>
</sst>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7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/>
  </fonts>
  <fills count="12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5" fillId="2" fontId="3" numFmtId="0" xfId="0" applyBorder="1" applyFont="1"/>
    <xf borderId="5" fillId="2" fontId="3" numFmtId="0" xfId="0" applyAlignment="1" applyBorder="1" applyFont="1">
      <alignment horizontal="center"/>
    </xf>
    <xf borderId="5" fillId="3" fontId="3" numFmtId="0" xfId="0" applyBorder="1" applyFill="1" applyFont="1"/>
    <xf borderId="5" fillId="3" fontId="3" numFmtId="0" xfId="0" applyAlignment="1" applyBorder="1" applyFont="1">
      <alignment horizontal="center" shrinkToFit="0" wrapText="1"/>
    </xf>
    <xf borderId="3" fillId="4" fontId="3" numFmtId="0" xfId="0" applyAlignment="1" applyBorder="1" applyFill="1" applyFont="1">
      <alignment horizontal="center" readingOrder="0" shrinkToFit="0" wrapText="1"/>
    </xf>
    <xf borderId="4" fillId="5" fontId="3" numFmtId="0" xfId="0" applyAlignment="1" applyBorder="1" applyFill="1" applyFont="1">
      <alignment horizontal="center" shrinkToFit="0" wrapText="1"/>
    </xf>
    <xf borderId="5" fillId="6" fontId="2" numFmtId="0" xfId="0" applyAlignment="1" applyBorder="1" applyFill="1" applyFont="1">
      <alignment horizontal="center"/>
    </xf>
    <xf borderId="5" fillId="7" fontId="2" numFmtId="0" xfId="0" applyAlignment="1" applyBorder="1" applyFill="1" applyFont="1">
      <alignment horizontal="center"/>
    </xf>
    <xf borderId="5" fillId="2" fontId="2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left"/>
    </xf>
    <xf borderId="5" fillId="8" fontId="3" numFmtId="0" xfId="0" applyAlignment="1" applyBorder="1" applyFill="1" applyFont="1">
      <alignment horizontal="center"/>
    </xf>
    <xf borderId="5" fillId="8" fontId="3" numFmtId="0" xfId="0" applyAlignment="1" applyBorder="1" applyFont="1">
      <alignment horizontal="left"/>
    </xf>
    <xf borderId="5" fillId="9" fontId="3" numFmtId="0" xfId="0" applyAlignment="1" applyBorder="1" applyFill="1" applyFont="1">
      <alignment horizontal="center"/>
    </xf>
    <xf borderId="5" fillId="9" fontId="3" numFmtId="0" xfId="0" applyAlignment="1" applyBorder="1" applyFont="1">
      <alignment horizontal="left"/>
    </xf>
    <xf borderId="5" fillId="0" fontId="2" numFmtId="0" xfId="0" applyAlignment="1" applyBorder="1" applyFont="1">
      <alignment horizontal="center"/>
    </xf>
    <xf borderId="6" fillId="10" fontId="4" numFmtId="0" xfId="0" applyAlignment="1" applyBorder="1" applyFill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0" fillId="0" fontId="2" numFmtId="0" xfId="0" applyAlignment="1" applyFont="1">
      <alignment horizontal="left"/>
    </xf>
    <xf borderId="5" fillId="11" fontId="2" numFmtId="0" xfId="0" applyAlignment="1" applyBorder="1" applyFill="1" applyFont="1">
      <alignment horizontal="left"/>
    </xf>
    <xf borderId="5" fillId="9" fontId="2" numFmtId="0" xfId="0" applyAlignment="1" applyBorder="1" applyFont="1">
      <alignment horizontal="lef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12.43"/>
    <col customWidth="1" min="4" max="26" width="8.71"/>
  </cols>
  <sheetData>
    <row r="1">
      <c r="A1" s="1"/>
    </row>
    <row r="3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>
      <c r="B4" s="4">
        <v>1.0</v>
      </c>
      <c r="C4" s="5" t="s">
        <v>6</v>
      </c>
      <c r="D4" s="5">
        <v>20.0</v>
      </c>
      <c r="E4" s="5">
        <v>78.0</v>
      </c>
      <c r="F4" s="5">
        <v>82.0</v>
      </c>
      <c r="G4" s="5">
        <v>75.0</v>
      </c>
    </row>
    <row r="5">
      <c r="B5" s="4">
        <v>2.0</v>
      </c>
      <c r="C5" s="5" t="s">
        <v>7</v>
      </c>
      <c r="D5" s="5">
        <v>21.0</v>
      </c>
      <c r="E5" s="5">
        <v>65.0</v>
      </c>
      <c r="F5" s="5">
        <v>70.0</v>
      </c>
      <c r="G5" s="5">
        <v>68.0</v>
      </c>
    </row>
    <row r="6">
      <c r="B6" s="4">
        <v>3.0</v>
      </c>
      <c r="C6" s="5" t="s">
        <v>8</v>
      </c>
      <c r="D6" s="5">
        <v>24.0</v>
      </c>
      <c r="E6" s="5">
        <v>88.0</v>
      </c>
      <c r="F6" s="5">
        <v>91.0</v>
      </c>
      <c r="G6" s="5">
        <v>85.0</v>
      </c>
    </row>
    <row r="7">
      <c r="B7" s="4">
        <v>4.0</v>
      </c>
      <c r="C7" s="5" t="s">
        <v>9</v>
      </c>
      <c r="D7" s="5">
        <v>23.0</v>
      </c>
      <c r="E7" s="5">
        <v>90.0</v>
      </c>
      <c r="F7" s="5">
        <v>86.0</v>
      </c>
      <c r="G7" s="5">
        <v>92.0</v>
      </c>
    </row>
    <row r="8">
      <c r="B8" s="4">
        <v>5.0</v>
      </c>
      <c r="C8" s="5" t="s">
        <v>10</v>
      </c>
      <c r="D8" s="5">
        <v>21.0</v>
      </c>
      <c r="E8" s="5">
        <v>72.0</v>
      </c>
      <c r="F8" s="5">
        <v>75.0</v>
      </c>
      <c r="G8" s="5">
        <v>70.0</v>
      </c>
    </row>
    <row r="10">
      <c r="B10" s="6" t="s">
        <v>11</v>
      </c>
      <c r="C10" s="7">
        <v>4.0</v>
      </c>
    </row>
    <row r="11">
      <c r="B11" s="8" t="s">
        <v>12</v>
      </c>
      <c r="C11" s="9" t="str">
        <f>VLOOKUP(C10,B3:G8,2,0)</f>
        <v>rajkahar</v>
      </c>
    </row>
    <row r="13">
      <c r="B13" s="2" t="s">
        <v>0</v>
      </c>
      <c r="C13" s="3" t="s">
        <v>1</v>
      </c>
      <c r="D13" s="3" t="s">
        <v>2</v>
      </c>
      <c r="E13" s="3" t="s">
        <v>3</v>
      </c>
      <c r="F13" s="3" t="s">
        <v>4</v>
      </c>
      <c r="G13" s="3" t="s">
        <v>5</v>
      </c>
    </row>
    <row r="14">
      <c r="B14" s="10">
        <v>2.0</v>
      </c>
      <c r="C14" s="11" t="str">
        <f>VLOOKUP(B14,B3:G8,2,0)</f>
        <v>rohan</v>
      </c>
      <c r="D14" s="11">
        <f>VLOOKUP(B14,B3:G8,3,0)</f>
        <v>21</v>
      </c>
      <c r="E14" s="11">
        <f>VLOOKUP(B14,B3:G8,4,0)</f>
        <v>65</v>
      </c>
      <c r="F14" s="11">
        <f>VLOOKUP(B14,B3:G8,5,0)</f>
        <v>70</v>
      </c>
      <c r="G14" s="11">
        <f>VLOOKUP(B14,B3:G8,6,0)</f>
        <v>68</v>
      </c>
    </row>
    <row r="16">
      <c r="B16" s="2" t="s">
        <v>0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</row>
    <row r="17">
      <c r="B17" s="10">
        <v>7.0</v>
      </c>
      <c r="C17" s="11" t="str">
        <f>IFERROR(VLOOKUP(B17,B3:G8,2,0),"🦁")</f>
        <v>🦁</v>
      </c>
      <c r="D17" s="11" t="str">
        <f t="shared" ref="D17:G17" si="1">IFERROR(VLOOKUP(C17,C3:H8,2,0),"😊")</f>
        <v>😊</v>
      </c>
      <c r="E17" s="11" t="str">
        <f t="shared" si="1"/>
        <v>😊</v>
      </c>
      <c r="F17" s="11" t="str">
        <f t="shared" si="1"/>
        <v>😊</v>
      </c>
      <c r="G17" s="11" t="str">
        <f t="shared" si="1"/>
        <v>😊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11.14"/>
  </cols>
  <sheetData>
    <row r="3">
      <c r="B3" s="12" t="s">
        <v>13</v>
      </c>
      <c r="C3" s="13" t="s">
        <v>14</v>
      </c>
      <c r="D3" s="14" t="s">
        <v>15</v>
      </c>
      <c r="F3" s="12" t="s">
        <v>13</v>
      </c>
      <c r="G3" s="13" t="s">
        <v>14</v>
      </c>
      <c r="H3" s="14" t="s">
        <v>15</v>
      </c>
    </row>
    <row r="4">
      <c r="B4" s="15">
        <v>1.0</v>
      </c>
      <c r="C4" s="16" t="s">
        <v>16</v>
      </c>
      <c r="D4" s="15">
        <v>10000.0</v>
      </c>
      <c r="F4" s="15">
        <v>101.0</v>
      </c>
      <c r="G4" s="16" t="s">
        <v>16</v>
      </c>
      <c r="H4" s="15">
        <v>10000.0</v>
      </c>
    </row>
    <row r="5">
      <c r="B5" s="15">
        <v>2.0</v>
      </c>
      <c r="C5" s="16" t="s">
        <v>17</v>
      </c>
      <c r="D5" s="15">
        <v>18000.0</v>
      </c>
      <c r="F5" s="17">
        <v>120.0</v>
      </c>
      <c r="G5" s="18" t="s">
        <v>17</v>
      </c>
      <c r="H5" s="17">
        <v>18000.0</v>
      </c>
    </row>
    <row r="6">
      <c r="B6" s="15">
        <v>3.0</v>
      </c>
      <c r="C6" s="16" t="s">
        <v>18</v>
      </c>
      <c r="D6" s="15">
        <v>20000.0</v>
      </c>
      <c r="F6" s="15">
        <v>135.0</v>
      </c>
      <c r="G6" s="16" t="s">
        <v>18</v>
      </c>
      <c r="H6" s="15">
        <v>20000.0</v>
      </c>
    </row>
    <row r="7">
      <c r="B7" s="15">
        <v>4.0</v>
      </c>
      <c r="C7" s="16" t="s">
        <v>19</v>
      </c>
      <c r="D7" s="15">
        <v>50000.0</v>
      </c>
      <c r="F7" s="15">
        <v>140.0</v>
      </c>
      <c r="G7" s="16" t="s">
        <v>19</v>
      </c>
      <c r="H7" s="15">
        <v>50000.0</v>
      </c>
    </row>
    <row r="8">
      <c r="B8" s="15">
        <v>5.0</v>
      </c>
      <c r="C8" s="16" t="s">
        <v>20</v>
      </c>
      <c r="D8" s="15">
        <v>80000.0</v>
      </c>
      <c r="F8" s="19">
        <v>180.0</v>
      </c>
      <c r="G8" s="20" t="s">
        <v>20</v>
      </c>
      <c r="H8" s="19">
        <v>80000.0</v>
      </c>
    </row>
    <row r="9">
      <c r="B9" s="15">
        <v>6.0</v>
      </c>
      <c r="C9" s="16" t="s">
        <v>21</v>
      </c>
      <c r="D9" s="15">
        <v>85000.0</v>
      </c>
      <c r="F9" s="15">
        <v>200.0</v>
      </c>
      <c r="G9" s="16" t="s">
        <v>21</v>
      </c>
      <c r="H9" s="15">
        <v>85000.0</v>
      </c>
    </row>
    <row r="11">
      <c r="B11" s="21" t="s">
        <v>13</v>
      </c>
      <c r="C11" s="21" t="s">
        <v>14</v>
      </c>
      <c r="D11" s="21" t="s">
        <v>15</v>
      </c>
      <c r="F11" s="21" t="s">
        <v>13</v>
      </c>
      <c r="G11" s="21" t="s">
        <v>14</v>
      </c>
      <c r="H11" s="21" t="s">
        <v>15</v>
      </c>
    </row>
    <row r="12">
      <c r="B12" s="15">
        <v>3.0</v>
      </c>
      <c r="C12" s="15" t="str">
        <f>VLOOKUP(B12,B3:D9,2,1)</f>
        <v>tv</v>
      </c>
      <c r="D12" s="15"/>
      <c r="F12" s="19">
        <v>178.0</v>
      </c>
      <c r="G12" s="19" t="str">
        <f t="shared" ref="G12:H12" si="1">VLOOKUP(F12,F3:H9,2,1)</f>
        <v>watch</v>
      </c>
      <c r="H12" s="19">
        <f t="shared" si="1"/>
        <v>85000</v>
      </c>
    </row>
    <row r="14">
      <c r="F14" s="21" t="s">
        <v>13</v>
      </c>
      <c r="G14" s="21" t="s">
        <v>14</v>
      </c>
      <c r="H14" s="21" t="s">
        <v>15</v>
      </c>
    </row>
    <row r="15">
      <c r="F15" s="17">
        <v>122.0</v>
      </c>
      <c r="G15" s="17" t="str">
        <f t="shared" ref="G15:G17" si="2">VLOOKUP(F15,F3:H9,2,1)</f>
        <v>Ac</v>
      </c>
      <c r="H15" s="17">
        <f>VLOOKUP(F15,F3:H9,3,1)</f>
        <v>18000</v>
      </c>
      <c r="I15" s="22" t="s">
        <v>22</v>
      </c>
    </row>
    <row r="16">
      <c r="F16" s="17">
        <v>130.0</v>
      </c>
      <c r="G16" s="17" t="str">
        <f t="shared" si="2"/>
        <v>Ac</v>
      </c>
      <c r="H16" s="17">
        <f t="shared" ref="H16:H17" si="3">VLOOKUP(G16,G4:I10,2,1)</f>
        <v>18000</v>
      </c>
      <c r="I16" s="23"/>
    </row>
    <row r="17">
      <c r="F17" s="17">
        <v>100.0</v>
      </c>
      <c r="G17" s="17" t="str">
        <f t="shared" si="2"/>
        <v>#N/A</v>
      </c>
      <c r="H17" s="17" t="str">
        <f t="shared" si="3"/>
        <v>#N/A</v>
      </c>
      <c r="I17" s="24"/>
    </row>
  </sheetData>
  <mergeCells count="1">
    <mergeCell ref="I15:I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3">
      <c r="B3" s="25"/>
      <c r="C3" s="25"/>
      <c r="D3" s="25"/>
      <c r="E3" s="25"/>
    </row>
    <row r="4">
      <c r="B4" s="26" t="s">
        <v>23</v>
      </c>
      <c r="C4" s="27" t="s">
        <v>24</v>
      </c>
      <c r="D4" s="27" t="s">
        <v>25</v>
      </c>
      <c r="E4" s="27" t="s">
        <v>26</v>
      </c>
    </row>
    <row r="5">
      <c r="B5" s="26" t="s">
        <v>27</v>
      </c>
      <c r="C5" s="16">
        <v>1000.0</v>
      </c>
      <c r="D5" s="16">
        <v>1500.0</v>
      </c>
      <c r="E5" s="16">
        <v>2000.0</v>
      </c>
    </row>
    <row r="6">
      <c r="B6" s="26" t="s">
        <v>28</v>
      </c>
      <c r="C6" s="16">
        <v>200.0</v>
      </c>
      <c r="D6" s="16">
        <v>300.0</v>
      </c>
      <c r="E6" s="16">
        <v>500.0</v>
      </c>
    </row>
    <row r="9">
      <c r="B9" s="28" t="s">
        <v>29</v>
      </c>
      <c r="E9" s="28" t="s">
        <v>30</v>
      </c>
    </row>
    <row r="10">
      <c r="B10" s="26" t="s">
        <v>23</v>
      </c>
      <c r="C10" s="27" t="s">
        <v>25</v>
      </c>
      <c r="E10" s="26" t="s">
        <v>23</v>
      </c>
      <c r="F10" s="27" t="s">
        <v>26</v>
      </c>
    </row>
    <row r="11">
      <c r="B11" s="26" t="s">
        <v>27</v>
      </c>
      <c r="C11" s="16">
        <f>HLOOKUP(C10,B4:E6,2,FALSE)</f>
        <v>1500</v>
      </c>
      <c r="E11" s="26" t="s">
        <v>27</v>
      </c>
      <c r="F11" s="16"/>
    </row>
    <row r="12">
      <c r="B12" s="26" t="s">
        <v>28</v>
      </c>
      <c r="C12" s="16"/>
      <c r="E12" s="26" t="s">
        <v>28</v>
      </c>
      <c r="F12" s="16">
        <f>HLOOKUP(F10,B4:E6,3,FALSE)</f>
        <v>500</v>
      </c>
    </row>
  </sheetData>
  <mergeCells count="2">
    <mergeCell ref="B9:C9"/>
    <mergeCell ref="E9:F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2025-12-23T07:33:54Z</dcterms:created>
  <dc:creator>krunal sir</dc:creator>
</cp:coreProperties>
</file>