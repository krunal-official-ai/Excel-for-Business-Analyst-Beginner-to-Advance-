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_condition" sheetId="1" r:id="rId4"/>
  </sheets>
  <definedNames/>
  <calcPr/>
  <extLst>
    <ext uri="GoogleSheetsCustomDataVersion2">
      <go:sheetsCustomData xmlns:go="http://customooxmlschemas.google.com/" r:id="rId5" roundtripDataChecksum="TeCMN2JkpiAxNiS/SFMZ/258/LJg1Z8ol51NwKwch6s="/>
    </ext>
  </extLst>
</workbook>
</file>

<file path=xl/sharedStrings.xml><?xml version="1.0" encoding="utf-8"?>
<sst xmlns="http://schemas.openxmlformats.org/spreadsheetml/2006/main" count="39" uniqueCount="35">
  <si>
    <t>name</t>
  </si>
  <si>
    <t>Maths</t>
  </si>
  <si>
    <t>Science</t>
  </si>
  <si>
    <t>Physics</t>
  </si>
  <si>
    <t>Total Marks</t>
  </si>
  <si>
    <t>Average</t>
  </si>
  <si>
    <t>Advance Grading</t>
  </si>
  <si>
    <t>Grade</t>
  </si>
  <si>
    <t>pass/Fail</t>
  </si>
  <si>
    <t>Ali</t>
  </si>
  <si>
    <t>Salman</t>
  </si>
  <si>
    <t>Kashif</t>
  </si>
  <si>
    <t>Rahim</t>
  </si>
  <si>
    <t>Salim</t>
  </si>
  <si>
    <t>Munir</t>
  </si>
  <si>
    <t>Ayaan</t>
  </si>
  <si>
    <t>Imran</t>
  </si>
  <si>
    <t>Zaid</t>
  </si>
  <si>
    <t>Faisal</t>
  </si>
  <si>
    <t>City</t>
  </si>
  <si>
    <t>Sales</t>
  </si>
  <si>
    <t>SUMIFS</t>
  </si>
  <si>
    <t>SUMIF</t>
  </si>
  <si>
    <t>SUMIFS with Multiple condition</t>
  </si>
  <si>
    <t>COUNTIF</t>
  </si>
  <si>
    <t>New York</t>
  </si>
  <si>
    <t>Chicago</t>
  </si>
  <si>
    <t>Boston</t>
  </si>
  <si>
    <t>Department</t>
  </si>
  <si>
    <t>Experience (Years)</t>
  </si>
  <si>
    <t>Salary</t>
  </si>
  <si>
    <t>AVGIF</t>
  </si>
  <si>
    <t>IT</t>
  </si>
  <si>
    <t>HR</t>
  </si>
  <si>
    <t>Finance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</si>
</sst>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3" fontId="3" numFmtId="0" xfId="0" applyAlignment="1" applyBorder="1" applyFill="1" applyFont="1">
      <alignment horizontal="center"/>
    </xf>
    <xf borderId="1" fillId="3" fontId="4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0" fontId="7" numFmtId="0" xfId="0" applyBorder="1" applyFont="1"/>
    <xf borderId="1" fillId="0" fontId="3" numFmtId="0" xfId="0" applyAlignment="1" applyBorder="1" applyFont="1">
      <alignment horizontal="center"/>
    </xf>
    <xf borderId="1" fillId="5" fontId="5" numFmtId="0" xfId="0" applyAlignment="1" applyBorder="1" applyFill="1" applyFont="1">
      <alignment horizontal="center" readingOrder="0"/>
    </xf>
    <xf borderId="1" fillId="0" fontId="6" numFmtId="3" xfId="0" applyAlignment="1" applyBorder="1" applyFont="1" applyNumberFormat="1">
      <alignment horizontal="center"/>
    </xf>
    <xf borderId="1" fillId="0" fontId="7" numFmtId="2" xfId="0" applyBorder="1" applyFont="1" applyNumberFormat="1"/>
    <xf borderId="1" fillId="0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2.0"/>
    <col customWidth="1" min="5" max="6" width="12.63"/>
    <col customWidth="1" min="7" max="7" width="30.5"/>
    <col customWidth="1" min="8" max="8" width="14.25"/>
    <col customWidth="1" min="9" max="9" width="20.13"/>
    <col customWidth="1" min="10" max="10" width="15.0"/>
  </cols>
  <sheetData>
    <row r="1" ht="15.75" customHeight="1"/>
    <row r="2" ht="15.75" customHeight="1"/>
    <row r="3" ht="15.75" customHeight="1"/>
    <row r="4" ht="15.7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ht="15.75" customHeight="1">
      <c r="C5" s="2" t="s">
        <v>9</v>
      </c>
      <c r="D5" s="2">
        <v>78.0</v>
      </c>
      <c r="E5" s="2">
        <v>82.0</v>
      </c>
      <c r="F5" s="2">
        <v>75.0</v>
      </c>
      <c r="G5" s="3">
        <v>235.0</v>
      </c>
      <c r="H5" s="3">
        <v>76.5</v>
      </c>
      <c r="I5" s="3" t="str">
        <f t="shared" ref="I5:I14" si="1">IFS(H5&gt;=90,"A",H5&gt;=80,"B",H5&gt;=70,"C",H5&gt;=60,"D",TRUE,"F")</f>
        <v>C</v>
      </c>
      <c r="J5" s="2" t="str">
        <f t="shared" ref="J5:J14" si="2">IF(H5&gt;90,"A",IF(H5&gt;80,"B",IF(H5&gt;70,"C",IF(H5&gt;60,"D","E"))))</f>
        <v>C</v>
      </c>
      <c r="K5" s="2" t="str">
        <f t="shared" ref="K5:K14" si="3">IF(H5&gt;90,"PASS","FAIL")</f>
        <v>FAIL</v>
      </c>
    </row>
    <row r="6" ht="15.75" customHeight="1">
      <c r="C6" s="2" t="s">
        <v>10</v>
      </c>
      <c r="D6" s="2">
        <v>65.0</v>
      </c>
      <c r="E6" s="2">
        <v>70.0</v>
      </c>
      <c r="F6" s="2">
        <v>68.0</v>
      </c>
      <c r="G6" s="3">
        <v>203.0</v>
      </c>
      <c r="H6" s="3">
        <v>66.5</v>
      </c>
      <c r="I6" s="3" t="str">
        <f t="shared" si="1"/>
        <v>D</v>
      </c>
      <c r="J6" s="2" t="str">
        <f t="shared" si="2"/>
        <v>D</v>
      </c>
      <c r="K6" s="2" t="str">
        <f t="shared" si="3"/>
        <v>FAIL</v>
      </c>
    </row>
    <row r="7" ht="15.75" customHeight="1">
      <c r="C7" s="2" t="s">
        <v>11</v>
      </c>
      <c r="D7" s="2">
        <v>88.0</v>
      </c>
      <c r="E7" s="2">
        <v>91.0</v>
      </c>
      <c r="F7" s="2">
        <v>85.0</v>
      </c>
      <c r="G7" s="3">
        <v>264.0</v>
      </c>
      <c r="H7" s="3">
        <v>86.5</v>
      </c>
      <c r="I7" s="3" t="str">
        <f t="shared" si="1"/>
        <v>B</v>
      </c>
      <c r="J7" s="2" t="str">
        <f t="shared" si="2"/>
        <v>B</v>
      </c>
      <c r="K7" s="2" t="str">
        <f t="shared" si="3"/>
        <v>FAIL</v>
      </c>
    </row>
    <row r="8" ht="15.75" customHeight="1">
      <c r="C8" s="2" t="s">
        <v>12</v>
      </c>
      <c r="D8" s="2">
        <v>90.0</v>
      </c>
      <c r="E8" s="2">
        <v>86.0</v>
      </c>
      <c r="F8" s="2">
        <v>92.0</v>
      </c>
      <c r="G8" s="3">
        <v>268.0</v>
      </c>
      <c r="H8" s="3">
        <v>91.0</v>
      </c>
      <c r="I8" s="3" t="str">
        <f t="shared" si="1"/>
        <v>A</v>
      </c>
      <c r="J8" s="2" t="str">
        <f t="shared" si="2"/>
        <v>A</v>
      </c>
      <c r="K8" s="2" t="str">
        <f t="shared" si="3"/>
        <v>PASS</v>
      </c>
    </row>
    <row r="9" ht="15.75" customHeight="1">
      <c r="C9" s="2" t="s">
        <v>13</v>
      </c>
      <c r="D9" s="2">
        <v>72.0</v>
      </c>
      <c r="E9" s="2">
        <v>75.0</v>
      </c>
      <c r="F9" s="2">
        <v>70.0</v>
      </c>
      <c r="G9" s="3">
        <v>217.0</v>
      </c>
      <c r="H9" s="3">
        <v>71.0</v>
      </c>
      <c r="I9" s="3" t="str">
        <f t="shared" si="1"/>
        <v>C</v>
      </c>
      <c r="J9" s="2" t="str">
        <f t="shared" si="2"/>
        <v>C</v>
      </c>
      <c r="K9" s="2" t="str">
        <f t="shared" si="3"/>
        <v>FAIL</v>
      </c>
    </row>
    <row r="10" ht="15.75" customHeight="1">
      <c r="C10" s="2" t="s">
        <v>14</v>
      </c>
      <c r="D10" s="2">
        <v>60.0</v>
      </c>
      <c r="E10" s="2">
        <v>58.0</v>
      </c>
      <c r="F10" s="2">
        <v>62.0</v>
      </c>
      <c r="G10" s="3">
        <v>180.0</v>
      </c>
      <c r="H10" s="3">
        <v>61.0</v>
      </c>
      <c r="I10" s="3" t="str">
        <f t="shared" si="1"/>
        <v>D</v>
      </c>
      <c r="J10" s="2" t="str">
        <f t="shared" si="2"/>
        <v>D</v>
      </c>
      <c r="K10" s="2" t="str">
        <f t="shared" si="3"/>
        <v>FAIL</v>
      </c>
    </row>
    <row r="11" ht="15.75" customHeight="1">
      <c r="C11" s="2" t="s">
        <v>15</v>
      </c>
      <c r="D11" s="2">
        <v>95.0</v>
      </c>
      <c r="E11" s="2">
        <v>93.0</v>
      </c>
      <c r="F11" s="2">
        <v>96.0</v>
      </c>
      <c r="G11" s="3">
        <v>284.0</v>
      </c>
      <c r="H11" s="3">
        <v>95.5</v>
      </c>
      <c r="I11" s="3" t="str">
        <f t="shared" si="1"/>
        <v>A</v>
      </c>
      <c r="J11" s="2" t="str">
        <f t="shared" si="2"/>
        <v>A</v>
      </c>
      <c r="K11" s="2" t="str">
        <f t="shared" si="3"/>
        <v>PASS</v>
      </c>
    </row>
    <row r="12" ht="15.75" customHeight="1">
      <c r="C12" s="2" t="s">
        <v>16</v>
      </c>
      <c r="D12" s="2">
        <v>55.0</v>
      </c>
      <c r="E12" s="2">
        <v>60.0</v>
      </c>
      <c r="F12" s="2">
        <v>57.0</v>
      </c>
      <c r="G12" s="3">
        <v>172.0</v>
      </c>
      <c r="H12" s="3">
        <v>56.0</v>
      </c>
      <c r="I12" s="3" t="str">
        <f t="shared" si="1"/>
        <v>F</v>
      </c>
      <c r="J12" s="2" t="str">
        <f t="shared" si="2"/>
        <v>E</v>
      </c>
      <c r="K12" s="2" t="str">
        <f t="shared" si="3"/>
        <v>FAIL</v>
      </c>
    </row>
    <row r="13" ht="15.75" customHeight="1">
      <c r="C13" s="2" t="s">
        <v>17</v>
      </c>
      <c r="D13" s="2">
        <v>80.0</v>
      </c>
      <c r="E13" s="2">
        <v>78.0</v>
      </c>
      <c r="F13" s="2">
        <v>82.0</v>
      </c>
      <c r="G13" s="3">
        <v>240.0</v>
      </c>
      <c r="H13" s="3">
        <v>81.0</v>
      </c>
      <c r="I13" s="3" t="str">
        <f t="shared" si="1"/>
        <v>B</v>
      </c>
      <c r="J13" s="2" t="str">
        <f t="shared" si="2"/>
        <v>B</v>
      </c>
      <c r="K13" s="2" t="str">
        <f t="shared" si="3"/>
        <v>FAIL</v>
      </c>
    </row>
    <row r="14" ht="15.75" customHeight="1">
      <c r="C14" s="2" t="s">
        <v>18</v>
      </c>
      <c r="D14" s="2">
        <v>68.0</v>
      </c>
      <c r="E14" s="2">
        <v>72.0</v>
      </c>
      <c r="F14" s="2">
        <v>70.0</v>
      </c>
      <c r="G14" s="3">
        <v>210.0</v>
      </c>
      <c r="H14" s="3">
        <v>69.0</v>
      </c>
      <c r="I14" s="3" t="str">
        <f t="shared" si="1"/>
        <v>D</v>
      </c>
      <c r="J14" s="2" t="str">
        <f t="shared" si="2"/>
        <v>D</v>
      </c>
      <c r="K14" s="2" t="str">
        <f t="shared" si="3"/>
        <v>FAIL</v>
      </c>
    </row>
    <row r="15" ht="15.75" customHeight="1"/>
    <row r="16" ht="15.75" customHeight="1"/>
    <row r="17" ht="15.75" customHeight="1"/>
    <row r="18" ht="15.75" customHeight="1"/>
    <row r="19" ht="15.75" customHeight="1">
      <c r="C19" s="4" t="s">
        <v>19</v>
      </c>
      <c r="D19" s="4" t="s">
        <v>20</v>
      </c>
      <c r="E19" s="5" t="s">
        <v>21</v>
      </c>
      <c r="F19" s="6" t="s">
        <v>22</v>
      </c>
      <c r="G19" s="7" t="s">
        <v>23</v>
      </c>
      <c r="H19" s="8" t="s">
        <v>24</v>
      </c>
    </row>
    <row r="20" ht="15.75" customHeight="1">
      <c r="C20" s="2" t="s">
        <v>25</v>
      </c>
      <c r="D20" s="2">
        <v>1200.0</v>
      </c>
      <c r="E20" s="9">
        <f t="shared" ref="E20:E23" si="4">SUMIFS(D20:D24,C20:C24,"New York")</f>
        <v>3650</v>
      </c>
      <c r="F20" s="10">
        <f t="shared" ref="F20:F23" si="5">SUMIF(C20:C24,"New York",D20:D24)</f>
        <v>3650</v>
      </c>
      <c r="G20" s="10">
        <f t="shared" ref="G20:G24" si="6">SUMIFS(D20:D24,C20:C24,"New York",D20:D24,"&gt;500")</f>
        <v>3200</v>
      </c>
      <c r="H20" s="11">
        <f t="shared" ref="H20:H24" si="7">COUNTIF(C20:C24,"NEW York")</f>
        <v>3</v>
      </c>
    </row>
    <row r="21" ht="15.75" customHeight="1">
      <c r="C21" s="2" t="s">
        <v>26</v>
      </c>
      <c r="D21" s="2">
        <v>800.0</v>
      </c>
      <c r="E21" s="9">
        <f t="shared" si="4"/>
        <v>2450</v>
      </c>
      <c r="F21" s="10">
        <f t="shared" si="5"/>
        <v>2450</v>
      </c>
      <c r="G21" s="10">
        <f t="shared" si="6"/>
        <v>2000</v>
      </c>
      <c r="H21" s="11">
        <f t="shared" si="7"/>
        <v>2</v>
      </c>
    </row>
    <row r="22" ht="15.75" customHeight="1">
      <c r="C22" s="2" t="s">
        <v>25</v>
      </c>
      <c r="D22" s="2">
        <v>450.0</v>
      </c>
      <c r="E22" s="9">
        <f t="shared" si="4"/>
        <v>2450</v>
      </c>
      <c r="F22" s="10">
        <f t="shared" si="5"/>
        <v>2450</v>
      </c>
      <c r="G22" s="10">
        <f t="shared" si="6"/>
        <v>2000</v>
      </c>
      <c r="H22" s="11">
        <f t="shared" si="7"/>
        <v>2</v>
      </c>
    </row>
    <row r="23" ht="15.75" customHeight="1">
      <c r="C23" s="2" t="s">
        <v>25</v>
      </c>
      <c r="D23" s="2">
        <v>2000.0</v>
      </c>
      <c r="E23" s="9">
        <f t="shared" si="4"/>
        <v>2000</v>
      </c>
      <c r="F23" s="10">
        <f t="shared" si="5"/>
        <v>2000</v>
      </c>
      <c r="G23" s="10">
        <f t="shared" si="6"/>
        <v>2000</v>
      </c>
      <c r="H23" s="11">
        <f t="shared" si="7"/>
        <v>1</v>
      </c>
    </row>
    <row r="24" ht="15.75" customHeight="1">
      <c r="C24" s="2" t="s">
        <v>27</v>
      </c>
      <c r="D24" s="2">
        <v>1300.0</v>
      </c>
      <c r="E24" s="9">
        <f>SUMIFS(D20:D24,C20:C24,"Chicago")</f>
        <v>800</v>
      </c>
      <c r="F24" s="10">
        <f>SUMIF(C20:C24,"Boston",D20:D24)</f>
        <v>1300</v>
      </c>
      <c r="G24" s="10">
        <f t="shared" si="6"/>
        <v>0</v>
      </c>
      <c r="H24" s="11">
        <f t="shared" si="7"/>
        <v>0</v>
      </c>
    </row>
    <row r="25" ht="15.75" customHeight="1"/>
    <row r="26" ht="15.75" customHeight="1"/>
    <row r="27" ht="15.75" customHeight="1"/>
    <row r="28" ht="15.75" customHeight="1">
      <c r="C28" s="12" t="s">
        <v>28</v>
      </c>
      <c r="D28" s="12" t="s">
        <v>29</v>
      </c>
      <c r="E28" s="12" t="s">
        <v>30</v>
      </c>
      <c r="F28" s="13" t="s">
        <v>31</v>
      </c>
    </row>
    <row r="29" ht="15.75" customHeight="1">
      <c r="C29" s="9" t="s">
        <v>32</v>
      </c>
      <c r="D29" s="9">
        <v>6.0</v>
      </c>
      <c r="E29" s="14">
        <v>50000.0</v>
      </c>
      <c r="F29" s="15">
        <f>averageif(C29:C33,"IT",E29:E33)</f>
        <v>53333.33333</v>
      </c>
    </row>
    <row r="30" ht="15.75" customHeight="1">
      <c r="C30" s="9" t="s">
        <v>33</v>
      </c>
      <c r="D30" s="9">
        <v>4.0</v>
      </c>
      <c r="E30" s="14">
        <v>40000.0</v>
      </c>
      <c r="F30" s="11"/>
    </row>
    <row r="31" ht="15.75" customHeight="1">
      <c r="C31" s="9" t="s">
        <v>32</v>
      </c>
      <c r="D31" s="9">
        <v>8.0</v>
      </c>
      <c r="E31" s="14">
        <v>70000.0</v>
      </c>
      <c r="F31" s="11"/>
    </row>
    <row r="32" ht="15.75" customHeight="1">
      <c r="C32" s="9" t="s">
        <v>32</v>
      </c>
      <c r="D32" s="9">
        <v>3.0</v>
      </c>
      <c r="E32" s="16">
        <v>40000.0</v>
      </c>
      <c r="F32" s="11"/>
    </row>
    <row r="33" ht="15.75" customHeight="1">
      <c r="C33" s="9" t="s">
        <v>34</v>
      </c>
      <c r="D33" s="9">
        <v>7.0</v>
      </c>
      <c r="E33" s="14">
        <v>45000.0</v>
      </c>
      <c r="F33" s="1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