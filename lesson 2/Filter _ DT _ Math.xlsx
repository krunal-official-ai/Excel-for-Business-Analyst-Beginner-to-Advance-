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ter" sheetId="1" r:id="rId4"/>
    <sheet state="visible" name="Date &amp; Time" sheetId="2" r:id="rId5"/>
    <sheet state="visible" name="MAth" sheetId="3" r:id="rId6"/>
  </sheets>
  <definedNames/>
  <calcPr/>
  <extLst>
    <ext uri="GoogleSheetsCustomDataVersion2">
      <go:sheetsCustomData xmlns:go="http://customooxmlschemas.google.com/" r:id="rId7" roundtripDataChecksum="6ywThrDIP/Tgc4Re+gIe6GGPMSH7Vrp/+xiJHwZjMAw="/>
    </ext>
  </extLst>
</workbook>
</file>

<file path=xl/sharedStrings.xml><?xml version="1.0" encoding="utf-8"?>
<sst xmlns="http://schemas.openxmlformats.org/spreadsheetml/2006/main" count="97" uniqueCount="66">
  <si>
    <t>No</t>
  </si>
  <si>
    <t>Name</t>
  </si>
  <si>
    <t>Maths</t>
  </si>
  <si>
    <t>Science</t>
  </si>
  <si>
    <t>Physics</t>
  </si>
  <si>
    <t>mayur</t>
  </si>
  <si>
    <t xml:space="preserve">FILTER( range ,  condition1 ,  [condition2, …] )                                </t>
  </si>
  <si>
    <t>rohan</t>
  </si>
  <si>
    <t>Krunal</t>
  </si>
  <si>
    <t>Enter a Number :</t>
  </si>
  <si>
    <t>rajkahar</t>
  </si>
  <si>
    <t>suraj</t>
  </si>
  <si>
    <t>1D</t>
  </si>
  <si>
    <t>2D</t>
  </si>
  <si>
    <t>No.</t>
  </si>
  <si>
    <t>product</t>
  </si>
  <si>
    <t>Region</t>
  </si>
  <si>
    <t>Sales</t>
  </si>
  <si>
    <t>laptop</t>
  </si>
  <si>
    <t>east</t>
  </si>
  <si>
    <t>Ac</t>
  </si>
  <si>
    <t>south</t>
  </si>
  <si>
    <t>tv</t>
  </si>
  <si>
    <t>west</t>
  </si>
  <si>
    <t>Enter Region :</t>
  </si>
  <si>
    <t>watch</t>
  </si>
  <si>
    <t>north</t>
  </si>
  <si>
    <t>Enter Sales  :</t>
  </si>
  <si>
    <t xml:space="preserve">smartphone </t>
  </si>
  <si>
    <t>headphone</t>
  </si>
  <si>
    <t>AND Operator</t>
  </si>
  <si>
    <t>*</t>
  </si>
  <si>
    <t>OR Operator</t>
  </si>
  <si>
    <t>"+"</t>
  </si>
  <si>
    <t>Date</t>
  </si>
  <si>
    <t>Day</t>
  </si>
  <si>
    <t>Month</t>
  </si>
  <si>
    <t>Year</t>
  </si>
  <si>
    <t>mm-dd-yyyy</t>
  </si>
  <si>
    <t>Time</t>
  </si>
  <si>
    <t>Hour</t>
  </si>
  <si>
    <t>Minute</t>
  </si>
  <si>
    <t>Second</t>
  </si>
  <si>
    <t>TimeStamp</t>
  </si>
  <si>
    <t>Min</t>
  </si>
  <si>
    <t>Sec</t>
  </si>
  <si>
    <t>?</t>
  </si>
  <si>
    <t>Question:.</t>
  </si>
  <si>
    <t>Week Day find karna hai ?</t>
  </si>
  <si>
    <t>Total</t>
  </si>
  <si>
    <t>Function_Num</t>
  </si>
  <si>
    <t>Operation</t>
  </si>
  <si>
    <t>AVERAGE</t>
  </si>
  <si>
    <t>Max</t>
  </si>
  <si>
    <t>COUNT</t>
  </si>
  <si>
    <t>Count</t>
  </si>
  <si>
    <t>COUNTA</t>
  </si>
  <si>
    <t>Average</t>
  </si>
  <si>
    <t>MAX</t>
  </si>
  <si>
    <t>Product</t>
  </si>
  <si>
    <t>MIN</t>
  </si>
  <si>
    <t>Sum Product</t>
  </si>
  <si>
    <t>SUM</t>
  </si>
  <si>
    <t>Subtotal</t>
  </si>
  <si>
    <t>101–111</t>
  </si>
  <si>
    <t>Same functions but ignore hidden rows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</si>
</sst>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₹]#,##0"/>
    <numFmt numFmtId="165" formatCode="m/d/yyyy"/>
    <numFmt numFmtId="166" formatCode="m/d/yyyy\ h:mm"/>
  </numFmts>
  <fonts count="7">
    <font>
      <sz val="10.0"/>
      <color rgb="FF000000"/>
      <name val="Arial"/>
      <scheme val="minor"/>
    </font>
    <font>
      <sz val="10.0"/>
      <color theme="1"/>
      <name val="Arial"/>
    </font>
    <font>
      <sz val="11.0"/>
      <color theme="1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color theme="1"/>
      <name val="Arial"/>
      <scheme val="minor"/>
    </font>
    <font/>
  </fonts>
  <fills count="12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wrapText="1"/>
    </xf>
    <xf borderId="0" fillId="0" fontId="3" numFmtId="0" xfId="0" applyFont="1"/>
    <xf borderId="1" fillId="0" fontId="1" numFmtId="0" xfId="0" applyAlignment="1" applyBorder="1" applyFont="1">
      <alignment horizontal="center"/>
    </xf>
    <xf borderId="1" fillId="3" fontId="3" numFmtId="0" xfId="0" applyBorder="1" applyFill="1" applyFont="1"/>
    <xf borderId="1" fillId="4" fontId="3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horizontal="center"/>
    </xf>
    <xf borderId="1" fillId="5" fontId="2" numFmtId="0" xfId="0" applyAlignment="1" applyBorder="1" applyFont="1">
      <alignment horizontal="center"/>
    </xf>
    <xf borderId="1" fillId="6" fontId="1" numFmtId="0" xfId="0" applyAlignment="1" applyBorder="1" applyFill="1" applyFont="1">
      <alignment horizontal="center"/>
    </xf>
    <xf borderId="1" fillId="6" fontId="3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5" fontId="3" numFmtId="0" xfId="0" applyAlignment="1" applyBorder="1" applyFont="1">
      <alignment horizontal="center"/>
    </xf>
    <xf borderId="1" fillId="7" fontId="4" numFmtId="0" xfId="0" applyAlignment="1" applyBorder="1" applyFill="1" applyFont="1">
      <alignment horizontal="center"/>
    </xf>
    <xf borderId="1" fillId="8" fontId="4" numFmtId="0" xfId="0" applyAlignment="1" applyBorder="1" applyFill="1" applyFont="1">
      <alignment horizontal="center"/>
    </xf>
    <xf borderId="1" fillId="8" fontId="3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1" fillId="4" fontId="3" numFmtId="0" xfId="0" applyAlignment="1" applyBorder="1" applyFont="1">
      <alignment horizontal="center"/>
    </xf>
    <xf borderId="0" fillId="0" fontId="2" numFmtId="0" xfId="0" applyFont="1"/>
    <xf borderId="1" fillId="9" fontId="3" numFmtId="0" xfId="0" applyAlignment="1" applyBorder="1" applyFill="1" applyFont="1">
      <alignment horizontal="center"/>
    </xf>
    <xf borderId="1" fillId="0" fontId="1" numFmtId="165" xfId="0" applyAlignment="1" applyBorder="1" applyFont="1" applyNumberFormat="1">
      <alignment horizontal="center"/>
    </xf>
    <xf borderId="1" fillId="10" fontId="1" numFmtId="0" xfId="0" applyAlignment="1" applyBorder="1" applyFill="1" applyFont="1">
      <alignment horizontal="center"/>
    </xf>
    <xf borderId="1" fillId="10" fontId="1" numFmtId="165" xfId="0" applyAlignment="1" applyBorder="1" applyFont="1" applyNumberFormat="1">
      <alignment horizontal="center"/>
    </xf>
    <xf borderId="0" fillId="0" fontId="5" numFmtId="14" xfId="0" applyFont="1" applyNumberFormat="1"/>
    <xf borderId="0" fillId="0" fontId="3" numFmtId="0" xfId="0" applyAlignment="1" applyFont="1">
      <alignment horizontal="center"/>
    </xf>
    <xf borderId="1" fillId="0" fontId="1" numFmtId="18" xfId="0" applyAlignment="1" applyBorder="1" applyFont="1" applyNumberFormat="1">
      <alignment horizontal="center"/>
    </xf>
    <xf borderId="1" fillId="8" fontId="1" numFmtId="0" xfId="0" applyAlignment="1" applyBorder="1" applyFont="1">
      <alignment horizontal="center"/>
    </xf>
    <xf borderId="1" fillId="8" fontId="1" numFmtId="18" xfId="0" applyAlignment="1" applyBorder="1" applyFont="1" applyNumberFormat="1">
      <alignment horizontal="center"/>
    </xf>
    <xf borderId="1" fillId="9" fontId="1" numFmtId="0" xfId="0" applyAlignment="1" applyBorder="1" applyFont="1">
      <alignment horizontal="center"/>
    </xf>
    <xf borderId="1" fillId="0" fontId="1" numFmtId="166" xfId="0" applyAlignment="1" applyBorder="1" applyFont="1" applyNumberFormat="1">
      <alignment horizontal="center"/>
    </xf>
    <xf borderId="1" fillId="11" fontId="1" numFmtId="0" xfId="0" applyAlignment="1" applyBorder="1" applyFill="1" applyFont="1">
      <alignment horizontal="center"/>
    </xf>
    <xf borderId="2" fillId="4" fontId="1" numFmtId="0" xfId="0" applyAlignment="1" applyBorder="1" applyFont="1">
      <alignment horizontal="center"/>
    </xf>
    <xf borderId="2" fillId="9" fontId="1" numFmtId="0" xfId="0" applyAlignment="1" applyBorder="1" applyFont="1">
      <alignment horizontal="center"/>
    </xf>
    <xf borderId="1" fillId="1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3" fillId="10" fontId="1" numFmtId="0" xfId="0" applyAlignment="1" applyBorder="1" applyFont="1">
      <alignment horizontal="center"/>
    </xf>
    <xf borderId="4" fillId="0" fontId="6" numFmtId="0" xfId="0" applyBorder="1" applyFont="1"/>
    <xf borderId="5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7.13"/>
    <col customWidth="1" min="3" max="3" width="13.13"/>
    <col customWidth="1" min="4" max="4" width="9.5"/>
    <col customWidth="1" min="5" max="5" width="12.0"/>
    <col customWidth="1" min="6" max="6" width="10.25"/>
    <col customWidth="1" min="7" max="7" width="12.63"/>
    <col customWidth="1" min="8" max="8" width="15.0"/>
    <col customWidth="1" min="9" max="9" width="10.38"/>
    <col customWidth="1" min="10" max="10" width="12.63"/>
  </cols>
  <sheetData>
    <row r="1">
      <c r="A1" s="1"/>
    </row>
    <row r="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>
      <c r="B3" s="3">
        <v>1.0</v>
      </c>
      <c r="C3" s="4" t="s">
        <v>5</v>
      </c>
      <c r="D3" s="3">
        <v>78.0</v>
      </c>
      <c r="E3" s="3">
        <v>82.0</v>
      </c>
      <c r="F3" s="3">
        <v>75.0</v>
      </c>
      <c r="H3" s="5" t="s">
        <v>6</v>
      </c>
    </row>
    <row r="4">
      <c r="B4" s="3">
        <v>2.0</v>
      </c>
      <c r="C4" s="4" t="s">
        <v>7</v>
      </c>
      <c r="D4" s="3">
        <v>65.0</v>
      </c>
      <c r="E4" s="3">
        <v>70.0</v>
      </c>
      <c r="F4" s="3">
        <v>68.0</v>
      </c>
      <c r="H4" s="5"/>
      <c r="I4" s="5"/>
      <c r="J4" s="5"/>
      <c r="K4" s="5"/>
    </row>
    <row r="5">
      <c r="B5" s="3">
        <v>3.0</v>
      </c>
      <c r="C5" s="4" t="s">
        <v>8</v>
      </c>
      <c r="D5" s="6">
        <v>89.0</v>
      </c>
      <c r="E5" s="3">
        <v>91.0</v>
      </c>
      <c r="F5" s="3">
        <v>85.0</v>
      </c>
      <c r="H5" s="7" t="s">
        <v>9</v>
      </c>
      <c r="I5" s="8">
        <v>1.0</v>
      </c>
      <c r="J5" s="5"/>
      <c r="K5" s="5"/>
    </row>
    <row r="6">
      <c r="B6" s="3">
        <v>4.0</v>
      </c>
      <c r="C6" s="4" t="s">
        <v>10</v>
      </c>
      <c r="D6" s="3">
        <v>90.0</v>
      </c>
      <c r="E6" s="3">
        <v>86.0</v>
      </c>
      <c r="F6" s="3">
        <v>92.0</v>
      </c>
    </row>
    <row r="7">
      <c r="B7" s="3">
        <v>5.0</v>
      </c>
      <c r="C7" s="4" t="s">
        <v>11</v>
      </c>
      <c r="D7" s="3">
        <v>72.0</v>
      </c>
      <c r="E7" s="3">
        <v>75.0</v>
      </c>
      <c r="F7" s="3">
        <v>70.0</v>
      </c>
    </row>
    <row r="8">
      <c r="B8" s="1"/>
      <c r="C8" s="1"/>
      <c r="D8" s="1"/>
      <c r="E8" s="1"/>
      <c r="F8" s="1"/>
    </row>
    <row r="9">
      <c r="B9" s="2" t="s">
        <v>0</v>
      </c>
      <c r="C9" s="2" t="s">
        <v>1</v>
      </c>
      <c r="D9" s="2" t="s">
        <v>2</v>
      </c>
      <c r="E9" s="2" t="s">
        <v>3</v>
      </c>
      <c r="F9" s="2" t="s">
        <v>4</v>
      </c>
    </row>
    <row r="10">
      <c r="A10" s="9" t="s">
        <v>12</v>
      </c>
      <c r="B10" s="10">
        <f>IFERROR(__xludf.DUMMYFUNCTION("FILTER(B3:B7,B3:B7=4)"),4.0)</f>
        <v>4</v>
      </c>
      <c r="C10" s="4"/>
      <c r="D10" s="4"/>
      <c r="E10" s="4"/>
      <c r="F10" s="4"/>
    </row>
    <row r="11">
      <c r="A11" s="11" t="s">
        <v>13</v>
      </c>
      <c r="B11" s="11">
        <f>IFERROR(__xludf.DUMMYFUNCTION("FILTER(B3:F7,D3:D7&gt;80,E3:E7&gt;80,F3:F7&gt;75)"),3.0)</f>
        <v>3</v>
      </c>
      <c r="C11" s="11" t="str">
        <f>IFERROR(__xludf.DUMMYFUNCTION("""COMPUTED_VALUE"""),"Krunal")</f>
        <v>Krunal</v>
      </c>
      <c r="D11" s="11">
        <f>IFERROR(__xludf.DUMMYFUNCTION("""COMPUTED_VALUE"""),89.0)</f>
        <v>89</v>
      </c>
      <c r="E11" s="11">
        <f>IFERROR(__xludf.DUMMYFUNCTION("""COMPUTED_VALUE"""),91.0)</f>
        <v>91</v>
      </c>
      <c r="F11" s="11">
        <f>IFERROR(__xludf.DUMMYFUNCTION("""COMPUTED_VALUE"""),85.0)</f>
        <v>85</v>
      </c>
    </row>
    <row r="12">
      <c r="A12" s="6"/>
      <c r="B12" s="12">
        <f>IFERROR(__xludf.DUMMYFUNCTION("""COMPUTED_VALUE"""),4.0)</f>
        <v>4</v>
      </c>
      <c r="C12" s="12" t="str">
        <f>IFERROR(__xludf.DUMMYFUNCTION("""COMPUTED_VALUE"""),"rajkahar")</f>
        <v>rajkahar</v>
      </c>
      <c r="D12" s="12">
        <f>IFERROR(__xludf.DUMMYFUNCTION("""COMPUTED_VALUE"""),90.0)</f>
        <v>90</v>
      </c>
      <c r="E12" s="12">
        <f>IFERROR(__xludf.DUMMYFUNCTION("""COMPUTED_VALUE"""),86.0)</f>
        <v>86</v>
      </c>
      <c r="F12" s="12">
        <f>IFERROR(__xludf.DUMMYFUNCTION("""COMPUTED_VALUE"""),92.0)</f>
        <v>92</v>
      </c>
    </row>
    <row r="13">
      <c r="A13" s="13"/>
      <c r="B13" s="13"/>
      <c r="C13" s="13"/>
      <c r="D13" s="13"/>
      <c r="E13" s="13"/>
      <c r="F13" s="13"/>
    </row>
    <row r="14" ht="15.75" customHeight="1">
      <c r="A14" s="14" t="s">
        <v>13</v>
      </c>
      <c r="B14" s="14">
        <f>IFERROR(__xludf.DUMMYFUNCTION("FILTER(B3:F7,B3:B7=I5)"),1.0)</f>
        <v>1</v>
      </c>
      <c r="C14" s="14" t="str">
        <f>IFERROR(__xludf.DUMMYFUNCTION("""COMPUTED_VALUE"""),"mayur")</f>
        <v>mayur</v>
      </c>
      <c r="D14" s="14">
        <f>IFERROR(__xludf.DUMMYFUNCTION("""COMPUTED_VALUE"""),78.0)</f>
        <v>78</v>
      </c>
      <c r="E14" s="14">
        <f>IFERROR(__xludf.DUMMYFUNCTION("""COMPUTED_VALUE"""),82.0)</f>
        <v>82</v>
      </c>
      <c r="F14" s="14">
        <f>IFERROR(__xludf.DUMMYFUNCTION("""COMPUTED_VALUE"""),75.0)</f>
        <v>75</v>
      </c>
    </row>
    <row r="15" ht="15.75" customHeight="1">
      <c r="B15" s="13"/>
      <c r="C15" s="13"/>
      <c r="D15" s="13"/>
      <c r="E15" s="13"/>
      <c r="F15" s="13"/>
    </row>
    <row r="16" ht="15.75" customHeight="1"/>
    <row r="17" ht="15.75" customHeight="1">
      <c r="B17" s="15" t="s">
        <v>14</v>
      </c>
      <c r="C17" s="16" t="s">
        <v>15</v>
      </c>
      <c r="D17" s="17" t="s">
        <v>16</v>
      </c>
      <c r="E17" s="16" t="s">
        <v>17</v>
      </c>
    </row>
    <row r="18" ht="15.75" customHeight="1">
      <c r="B18" s="3">
        <v>1.0</v>
      </c>
      <c r="C18" s="3" t="s">
        <v>18</v>
      </c>
      <c r="D18" s="6" t="s">
        <v>19</v>
      </c>
      <c r="E18" s="18">
        <v>1000000.0</v>
      </c>
    </row>
    <row r="19" ht="15.75" customHeight="1">
      <c r="B19" s="3">
        <v>2.0</v>
      </c>
      <c r="C19" s="3" t="s">
        <v>20</v>
      </c>
      <c r="D19" s="6" t="s">
        <v>21</v>
      </c>
      <c r="E19" s="18">
        <v>1800000.0</v>
      </c>
    </row>
    <row r="20" ht="15.75" customHeight="1">
      <c r="B20" s="3">
        <v>3.0</v>
      </c>
      <c r="C20" s="3" t="s">
        <v>22</v>
      </c>
      <c r="D20" s="6" t="s">
        <v>23</v>
      </c>
      <c r="E20" s="18">
        <v>2000000.0</v>
      </c>
      <c r="G20" s="7" t="s">
        <v>24</v>
      </c>
      <c r="H20" s="19" t="s">
        <v>19</v>
      </c>
    </row>
    <row r="21" ht="15.75" customHeight="1">
      <c r="B21" s="3">
        <v>4.0</v>
      </c>
      <c r="C21" s="3" t="s">
        <v>25</v>
      </c>
      <c r="D21" s="6" t="s">
        <v>26</v>
      </c>
      <c r="E21" s="18">
        <v>5000000.0</v>
      </c>
      <c r="G21" s="7" t="s">
        <v>27</v>
      </c>
      <c r="H21" s="19">
        <v>2000000.0</v>
      </c>
    </row>
    <row r="22" ht="15.75" customHeight="1">
      <c r="B22" s="3">
        <v>5.0</v>
      </c>
      <c r="C22" s="3" t="s">
        <v>28</v>
      </c>
      <c r="D22" s="6" t="s">
        <v>19</v>
      </c>
      <c r="E22" s="18">
        <v>8000000.0</v>
      </c>
    </row>
    <row r="23" ht="15.75" customHeight="1">
      <c r="B23" s="3">
        <v>6.0</v>
      </c>
      <c r="C23" s="3" t="s">
        <v>29</v>
      </c>
      <c r="D23" s="6" t="s">
        <v>21</v>
      </c>
      <c r="E23" s="18">
        <v>8500000.0</v>
      </c>
      <c r="G23" s="6" t="s">
        <v>30</v>
      </c>
      <c r="H23" s="6" t="s">
        <v>31</v>
      </c>
    </row>
    <row r="24" ht="15.75" customHeight="1">
      <c r="B24" s="20"/>
      <c r="C24" s="20"/>
      <c r="D24" s="20"/>
      <c r="G24" s="6" t="s">
        <v>32</v>
      </c>
      <c r="H24" s="6" t="s">
        <v>33</v>
      </c>
    </row>
    <row r="25" ht="15.75" customHeight="1">
      <c r="B25" s="15" t="s">
        <v>14</v>
      </c>
      <c r="C25" s="16" t="s">
        <v>15</v>
      </c>
      <c r="D25" s="17" t="s">
        <v>16</v>
      </c>
      <c r="E25" s="16" t="s">
        <v>17</v>
      </c>
    </row>
    <row r="26" ht="15.75" customHeight="1">
      <c r="B26" s="3">
        <f>IFERROR(__xludf.DUMMYFUNCTION("FILTER(B18:E23,(D18:D23=H20)*(E18:E23&gt;H21))"),5.0)</f>
        <v>5</v>
      </c>
      <c r="C26" s="3" t="str">
        <f>IFERROR(__xludf.DUMMYFUNCTION("""COMPUTED_VALUE"""),"smartphone ")</f>
        <v>smartphone </v>
      </c>
      <c r="D26" s="3" t="str">
        <f>IFERROR(__xludf.DUMMYFUNCTION("""COMPUTED_VALUE"""),"east")</f>
        <v>east</v>
      </c>
      <c r="E26" s="18">
        <f>IFERROR(__xludf.DUMMYFUNCTION("""COMPUTED_VALUE"""),8000000.0)</f>
        <v>8000000</v>
      </c>
    </row>
    <row r="27" ht="15.75" customHeight="1">
      <c r="B27" s="13"/>
      <c r="C27" s="13"/>
      <c r="D27" s="13"/>
      <c r="E27" s="13"/>
    </row>
    <row r="28" ht="15.75" customHeight="1">
      <c r="B28" s="13"/>
      <c r="C28" s="13"/>
      <c r="D28" s="13"/>
      <c r="E28" s="13"/>
    </row>
    <row r="29" ht="15.75" customHeight="1">
      <c r="B29" s="13"/>
      <c r="C29" s="13"/>
      <c r="D29" s="13"/>
      <c r="E29" s="13"/>
    </row>
    <row r="30" ht="15.75" customHeight="1">
      <c r="B30" s="13"/>
      <c r="C30" s="13"/>
      <c r="D30" s="13"/>
      <c r="E30" s="13"/>
    </row>
    <row r="31" ht="15.75" customHeight="1">
      <c r="B31" s="13"/>
      <c r="C31" s="13"/>
      <c r="D31" s="13"/>
      <c r="E31" s="13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H3:K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5" width="12.63"/>
    <col customWidth="1" min="6" max="6" width="11.75"/>
    <col customWidth="1" min="9" max="9" width="11.75"/>
  </cols>
  <sheetData>
    <row r="1" ht="15.75" customHeight="1">
      <c r="A1" s="21" t="s">
        <v>34</v>
      </c>
      <c r="B1" s="21" t="s">
        <v>35</v>
      </c>
      <c r="C1" s="21" t="s">
        <v>36</v>
      </c>
      <c r="D1" s="21" t="s">
        <v>37</v>
      </c>
      <c r="F1" s="21" t="s">
        <v>34</v>
      </c>
    </row>
    <row r="2" ht="15.75" customHeight="1">
      <c r="A2" s="22">
        <v>46017.0</v>
      </c>
      <c r="B2" s="23">
        <f>DAY(A2)</f>
        <v>26</v>
      </c>
      <c r="C2" s="23">
        <f>MONTH(A2)</f>
        <v>12</v>
      </c>
      <c r="D2" s="23">
        <f>YEAR(A2)</f>
        <v>2025</v>
      </c>
      <c r="F2" s="24">
        <f>DATE(D2,C2,B2)</f>
        <v>46017</v>
      </c>
      <c r="G2" s="25">
        <f>TODAY()</f>
        <v>46076</v>
      </c>
    </row>
    <row r="3" ht="15.75" customHeight="1">
      <c r="A3" s="13" t="s">
        <v>38</v>
      </c>
    </row>
    <row r="4" ht="15.75" customHeight="1">
      <c r="A4" s="26"/>
      <c r="B4" s="26"/>
      <c r="C4" s="26"/>
      <c r="D4" s="26"/>
    </row>
    <row r="5" ht="15.75" customHeight="1">
      <c r="A5" s="26"/>
      <c r="B5" s="26"/>
      <c r="C5" s="26"/>
      <c r="D5" s="26"/>
    </row>
    <row r="6" ht="15.75" customHeight="1">
      <c r="A6" s="21" t="s">
        <v>39</v>
      </c>
      <c r="B6" s="21" t="s">
        <v>40</v>
      </c>
      <c r="C6" s="21" t="s">
        <v>41</v>
      </c>
      <c r="D6" s="21" t="s">
        <v>42</v>
      </c>
      <c r="F6" s="21" t="s">
        <v>39</v>
      </c>
    </row>
    <row r="7" ht="15.75" customHeight="1">
      <c r="A7" s="27">
        <v>0.4270833333333333</v>
      </c>
      <c r="B7" s="28">
        <f>HOUR(A7)</f>
        <v>10</v>
      </c>
      <c r="C7" s="28">
        <f>MINUTE(A7)</f>
        <v>15</v>
      </c>
      <c r="D7" s="28">
        <f>SECOND(A7)</f>
        <v>0</v>
      </c>
      <c r="F7" s="29">
        <f>TIME(B7,C7,D7)</f>
        <v>0.4270833333</v>
      </c>
    </row>
    <row r="8" ht="15.75" customHeight="1"/>
    <row r="9" ht="15.75" customHeight="1"/>
    <row r="10" ht="15.75" customHeight="1"/>
    <row r="11" ht="15.75" customHeight="1">
      <c r="A11" s="30" t="s">
        <v>43</v>
      </c>
      <c r="B11" s="21" t="s">
        <v>35</v>
      </c>
      <c r="C11" s="21" t="s">
        <v>36</v>
      </c>
      <c r="D11" s="21" t="s">
        <v>37</v>
      </c>
      <c r="E11" s="21" t="s">
        <v>40</v>
      </c>
      <c r="F11" s="21" t="s">
        <v>44</v>
      </c>
      <c r="G11" s="21" t="s">
        <v>45</v>
      </c>
      <c r="I11" s="21" t="s">
        <v>43</v>
      </c>
    </row>
    <row r="12" ht="15.75" customHeight="1">
      <c r="A12" s="31">
        <v>45785.427083333336</v>
      </c>
      <c r="B12" s="23">
        <f>DAY(A12)</f>
        <v>8</v>
      </c>
      <c r="C12" s="23">
        <f>MONTH(A12)</f>
        <v>5</v>
      </c>
      <c r="D12" s="23">
        <f>YEAR(A12)</f>
        <v>2025</v>
      </c>
      <c r="E12" s="28">
        <f>HOUR(A12)</f>
        <v>10</v>
      </c>
      <c r="F12" s="28">
        <f>MINUTE(A12)</f>
        <v>15</v>
      </c>
      <c r="G12" s="28">
        <f>SECOND(A12)</f>
        <v>0</v>
      </c>
      <c r="I12" s="32" t="s">
        <v>46</v>
      </c>
    </row>
    <row r="13" ht="15.75" customHeight="1"/>
    <row r="14" ht="15.75" customHeight="1"/>
    <row r="15" ht="15.75" customHeight="1">
      <c r="A15" s="33" t="s">
        <v>47</v>
      </c>
      <c r="B15" s="1" t="s">
        <v>48</v>
      </c>
    </row>
    <row r="16" ht="15.75" customHeight="1">
      <c r="A16" s="34"/>
      <c r="B16" s="34"/>
      <c r="C16" s="34"/>
      <c r="D16" s="34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5:D1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6" width="12.63"/>
    <col customWidth="1" min="8" max="8" width="38.38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5.75" customHeight="1">
      <c r="A2" s="3">
        <v>1.0</v>
      </c>
      <c r="B2" s="4" t="s">
        <v>5</v>
      </c>
      <c r="C2" s="3">
        <v>78.0</v>
      </c>
      <c r="D2" s="3">
        <v>82.0</v>
      </c>
      <c r="E2" s="3">
        <v>75.0</v>
      </c>
    </row>
    <row r="3" ht="15.75" customHeight="1">
      <c r="A3" s="3">
        <v>2.0</v>
      </c>
      <c r="B3" s="4" t="s">
        <v>7</v>
      </c>
      <c r="C3" s="3">
        <v>65.0</v>
      </c>
      <c r="D3" s="3">
        <v>70.0</v>
      </c>
      <c r="E3" s="3">
        <v>68.0</v>
      </c>
    </row>
    <row r="4" ht="15.75" customHeight="1">
      <c r="A4" s="3">
        <v>3.0</v>
      </c>
      <c r="B4" s="4" t="s">
        <v>8</v>
      </c>
      <c r="C4" s="3">
        <v>89.0</v>
      </c>
      <c r="D4" s="3">
        <v>91.0</v>
      </c>
      <c r="E4" s="3">
        <v>85.0</v>
      </c>
    </row>
    <row r="5" ht="15.75" customHeight="1">
      <c r="A5" s="3">
        <v>4.0</v>
      </c>
      <c r="B5" s="4" t="s">
        <v>10</v>
      </c>
      <c r="C5" s="3">
        <v>90.0</v>
      </c>
      <c r="D5" s="3">
        <v>86.0</v>
      </c>
      <c r="E5" s="3">
        <v>92.0</v>
      </c>
    </row>
    <row r="6" ht="15.75" customHeight="1">
      <c r="A6" s="3">
        <v>5.0</v>
      </c>
      <c r="B6" s="4" t="s">
        <v>11</v>
      </c>
      <c r="C6" s="3">
        <v>72.0</v>
      </c>
      <c r="D6" s="3">
        <v>75.0</v>
      </c>
      <c r="E6" s="3">
        <v>70.0</v>
      </c>
    </row>
    <row r="7" ht="15.75" customHeight="1">
      <c r="A7" s="35" t="s">
        <v>49</v>
      </c>
      <c r="B7" s="23"/>
      <c r="C7" s="23">
        <f t="shared" ref="C7:E7" si="1">SUM(C2:C6)</f>
        <v>394</v>
      </c>
      <c r="D7" s="23">
        <f t="shared" si="1"/>
        <v>404</v>
      </c>
      <c r="E7" s="23">
        <f t="shared" si="1"/>
        <v>390</v>
      </c>
      <c r="G7" s="36" t="s">
        <v>50</v>
      </c>
      <c r="H7" s="36" t="s">
        <v>51</v>
      </c>
    </row>
    <row r="8" ht="15.75" customHeight="1">
      <c r="A8" s="35" t="s">
        <v>44</v>
      </c>
      <c r="B8" s="23"/>
      <c r="C8" s="23">
        <f t="shared" ref="C8:E8" si="2">MIN(C2:C6)</f>
        <v>65</v>
      </c>
      <c r="D8" s="23">
        <f t="shared" si="2"/>
        <v>70</v>
      </c>
      <c r="E8" s="23">
        <f t="shared" si="2"/>
        <v>68</v>
      </c>
      <c r="G8" s="6">
        <v>1.0</v>
      </c>
      <c r="H8" s="37" t="s">
        <v>52</v>
      </c>
    </row>
    <row r="9" ht="15.75" customHeight="1">
      <c r="A9" s="35" t="s">
        <v>53</v>
      </c>
      <c r="B9" s="23"/>
      <c r="C9" s="23">
        <f t="shared" ref="C9:E9" si="3">MAX(C2:C6)</f>
        <v>90</v>
      </c>
      <c r="D9" s="23">
        <f t="shared" si="3"/>
        <v>91</v>
      </c>
      <c r="E9" s="23">
        <f t="shared" si="3"/>
        <v>92</v>
      </c>
      <c r="G9" s="6">
        <v>2.0</v>
      </c>
      <c r="H9" s="37" t="s">
        <v>54</v>
      </c>
    </row>
    <row r="10" ht="15.75" customHeight="1">
      <c r="A10" s="35" t="s">
        <v>55</v>
      </c>
      <c r="B10" s="23">
        <f>COUNTA(B2:B6)</f>
        <v>5</v>
      </c>
      <c r="C10" s="23">
        <f t="shared" ref="C10:E10" si="4">COUNT(C2:C6)</f>
        <v>5</v>
      </c>
      <c r="D10" s="23">
        <f t="shared" si="4"/>
        <v>5</v>
      </c>
      <c r="E10" s="23">
        <f t="shared" si="4"/>
        <v>5</v>
      </c>
      <c r="G10" s="6">
        <v>3.0</v>
      </c>
      <c r="H10" s="37" t="s">
        <v>56</v>
      </c>
    </row>
    <row r="11" ht="15.75" customHeight="1">
      <c r="A11" s="35" t="s">
        <v>57</v>
      </c>
      <c r="B11" s="23"/>
      <c r="C11" s="23">
        <f t="shared" ref="C11:E11" si="5">AVERAGE(C2:C6)</f>
        <v>78.8</v>
      </c>
      <c r="D11" s="23">
        <f t="shared" si="5"/>
        <v>80.8</v>
      </c>
      <c r="E11" s="23">
        <f t="shared" si="5"/>
        <v>78</v>
      </c>
      <c r="G11" s="6">
        <v>4.0</v>
      </c>
      <c r="H11" s="37" t="s">
        <v>58</v>
      </c>
    </row>
    <row r="12" ht="15.75" customHeight="1">
      <c r="A12" s="35" t="s">
        <v>59</v>
      </c>
      <c r="B12" s="23"/>
      <c r="C12" s="23">
        <f t="shared" ref="C12:E12" si="6">PRODUCT(C2:C6)</f>
        <v>2923970400</v>
      </c>
      <c r="D12" s="23">
        <f t="shared" si="6"/>
        <v>3369093000</v>
      </c>
      <c r="E12" s="23">
        <f t="shared" si="6"/>
        <v>2791740000</v>
      </c>
      <c r="G12" s="6">
        <v>5.0</v>
      </c>
      <c r="H12" s="37" t="s">
        <v>60</v>
      </c>
    </row>
    <row r="13" ht="15.75" customHeight="1">
      <c r="A13" s="35" t="s">
        <v>61</v>
      </c>
      <c r="B13" s="38">
        <f>SUMPRODUCT(A2:A6,E2:E6)</f>
        <v>1184</v>
      </c>
      <c r="C13" s="39"/>
      <c r="D13" s="39"/>
      <c r="E13" s="40"/>
      <c r="G13" s="6">
        <v>9.0</v>
      </c>
      <c r="H13" s="37" t="s">
        <v>62</v>
      </c>
    </row>
    <row r="14" ht="15.75" customHeight="1">
      <c r="A14" s="35" t="s">
        <v>63</v>
      </c>
      <c r="B14" s="38">
        <f>SUBTOTAL(9,C2:C6)</f>
        <v>394</v>
      </c>
      <c r="C14" s="39"/>
      <c r="D14" s="39"/>
      <c r="E14" s="40"/>
      <c r="G14" s="6" t="s">
        <v>64</v>
      </c>
      <c r="H14" s="37" t="s">
        <v>65</v>
      </c>
    </row>
    <row r="15" ht="15.75" customHeight="1"/>
    <row r="16" ht="15.75" customHeight="1"/>
    <row r="17" ht="15.75" customHeight="1">
      <c r="H17" s="1">
        <f>SUBTOTAL(3,B2:B6)</f>
        <v>5</v>
      </c>
    </row>
    <row r="18" ht="15.75" customHeight="1">
      <c r="H18" s="1">
        <f>SUBTOTAL(4,E2:E6)</f>
        <v>92</v>
      </c>
    </row>
    <row r="19" ht="15.75" customHeight="1">
      <c r="G19" s="1">
        <f>SUBTOTAL(1,C2:C6)</f>
        <v>78.8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3:E13"/>
    <mergeCell ref="B14:E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